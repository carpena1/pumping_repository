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pena/UF Dropbox/Rafael Munoz-Carpena/Work/Miguel/2019_Sabatico_UPNavarra/Projects/2024_NSF_Hydro_Lucie/Publication/Figs/"/>
    </mc:Choice>
  </mc:AlternateContent>
  <xr:revisionPtr revIDLastSave="0" documentId="13_ncr:1_{045AA8B0-8C9E-6349-BF2F-6A1572A26206}" xr6:coauthVersionLast="47" xr6:coauthVersionMax="47" xr10:uidLastSave="{00000000-0000-0000-0000-000000000000}"/>
  <bookViews>
    <workbookView xWindow="1540" yWindow="4040" windowWidth="47060" windowHeight="20220" xr2:uid="{93EA61AD-FC36-AD48-BEB0-3562857CF95F}"/>
  </bookViews>
  <sheets>
    <sheet name="mass_no_sine (2)" sheetId="4" r:id="rId1"/>
    <sheet name="depth_no_sin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J3" i="4"/>
  <c r="K3" i="4"/>
  <c r="L3" i="4"/>
  <c r="I4" i="4"/>
  <c r="J4" i="4"/>
  <c r="K4" i="4"/>
  <c r="L4" i="4"/>
  <c r="J2" i="4"/>
  <c r="K2" i="4"/>
  <c r="L2" i="4"/>
  <c r="I2" i="4"/>
  <c r="E9" i="4"/>
  <c r="D9" i="4"/>
  <c r="C9" i="4"/>
  <c r="E8" i="4"/>
  <c r="D8" i="4"/>
  <c r="C8" i="4"/>
  <c r="B8" i="4"/>
  <c r="E7" i="4"/>
  <c r="D7" i="4"/>
  <c r="C7" i="4"/>
  <c r="B7" i="4"/>
  <c r="E9" i="2"/>
  <c r="D9" i="2"/>
  <c r="C9" i="2"/>
  <c r="E8" i="2"/>
  <c r="D8" i="2"/>
  <c r="C8" i="2"/>
  <c r="B8" i="2"/>
  <c r="E7" i="2"/>
  <c r="D7" i="2"/>
  <c r="C7" i="2"/>
  <c r="B7" i="2"/>
</calcChain>
</file>

<file path=xl/sharedStrings.xml><?xml version="1.0" encoding="utf-8"?>
<sst xmlns="http://schemas.openxmlformats.org/spreadsheetml/2006/main" count="112" uniqueCount="25">
  <si>
    <t>p_s</t>
  </si>
  <si>
    <t>p_h</t>
  </si>
  <si>
    <t>np_s</t>
  </si>
  <si>
    <t>np_h</t>
  </si>
  <si>
    <t>np_c</t>
  </si>
  <si>
    <t>Soil</t>
  </si>
  <si>
    <t>Clay</t>
  </si>
  <si>
    <t>Loam</t>
  </si>
  <si>
    <t>Sandy Loam</t>
  </si>
  <si>
    <t>Obs.</t>
  </si>
  <si>
    <t>Method</t>
  </si>
  <si>
    <t>Mass removed (g)</t>
  </si>
  <si>
    <t>C</t>
  </si>
  <si>
    <t>L</t>
  </si>
  <si>
    <t>SL</t>
  </si>
  <si>
    <t>C_Soil</t>
  </si>
  <si>
    <t>C_Runoff</t>
  </si>
  <si>
    <t>L_Soil</t>
  </si>
  <si>
    <t>L_Runoff</t>
  </si>
  <si>
    <t>SL_Soil</t>
  </si>
  <si>
    <t>SL_Runoff</t>
  </si>
  <si>
    <t>Loam-Havis</t>
  </si>
  <si>
    <t>Loam Havis</t>
  </si>
  <si>
    <t>Soil prof.</t>
  </si>
  <si>
    <t>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</si>
</sst>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ACCFED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1" fillId="2" borderId="5" xfId="0" applyFont="1" applyFill="1" applyBorder="1" applyAlignment="1">
      <alignment vertical="center" wrapText="1" readingOrder="1"/>
    </xf>
    <xf numFmtId="0" fontId="1" fillId="2" borderId="6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36441725264597"/>
          <c:y val="2.8116650573693825E-2"/>
          <c:w val="0.81717877232173552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'mass_no_sine (2)'!$B$6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(2)'!$B$7:$B$10</c:f>
              <c:numCache>
                <c:formatCode>General</c:formatCode>
                <c:ptCount val="4"/>
                <c:pt idx="0">
                  <c:v>3.36</c:v>
                </c:pt>
                <c:pt idx="1">
                  <c:v>2.2999999999999998</c:v>
                </c:pt>
                <c:pt idx="2">
                  <c:v>1.5</c:v>
                </c:pt>
                <c:pt idx="3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9-CF45-903A-9D298040509F}"/>
            </c:ext>
          </c:extLst>
        </c:ser>
        <c:ser>
          <c:idx val="2"/>
          <c:order val="1"/>
          <c:tx>
            <c:strRef>
              <c:f>'mass_no_sine (2)'!$C$6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(2)'!$C$7:$C$10</c:f>
              <c:numCache>
                <c:formatCode>General</c:formatCode>
                <c:ptCount val="4"/>
                <c:pt idx="0">
                  <c:v>3.4</c:v>
                </c:pt>
                <c:pt idx="1">
                  <c:v>2.46</c:v>
                </c:pt>
                <c:pt idx="2">
                  <c:v>1.54</c:v>
                </c:pt>
                <c:pt idx="3">
                  <c:v>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9-CF45-903A-9D298040509F}"/>
            </c:ext>
          </c:extLst>
        </c:ser>
        <c:ser>
          <c:idx val="4"/>
          <c:order val="2"/>
          <c:tx>
            <c:strRef>
              <c:f>'mass_no_sine (2)'!$D$6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(2)'!$D$7:$D$10</c:f>
              <c:numCache>
                <c:formatCode>General</c:formatCode>
                <c:ptCount val="4"/>
                <c:pt idx="0">
                  <c:v>1.34</c:v>
                </c:pt>
                <c:pt idx="1">
                  <c:v>1.1599999999999999</c:v>
                </c:pt>
                <c:pt idx="2">
                  <c:v>1.52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9-CF45-903A-9D298040509F}"/>
            </c:ext>
          </c:extLst>
        </c:ser>
        <c:ser>
          <c:idx val="5"/>
          <c:order val="3"/>
          <c:tx>
            <c:strRef>
              <c:f>'mass_no_sine (2)'!$E$6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(2)'!$E$7:$E$10</c:f>
              <c:numCache>
                <c:formatCode>General</c:formatCode>
                <c:ptCount val="4"/>
                <c:pt idx="0">
                  <c:v>1.32</c:v>
                </c:pt>
                <c:pt idx="1">
                  <c:v>1.08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69-CF45-903A-9D2980405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Extraction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096993971385517"/>
          <c:y val="4.0584239528390673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146484278730845"/>
          <c:y val="2.8116650573693825E-2"/>
          <c:w val="0.76607828495611363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'mass_no_sine (2)'!$I$6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(2)'!$I$7:$I$10</c:f>
              <c:numCache>
                <c:formatCode>General</c:formatCode>
                <c:ptCount val="4"/>
                <c:pt idx="0">
                  <c:v>1.5866666666666666E-3</c:v>
                </c:pt>
                <c:pt idx="1">
                  <c:v>1.4400000000000001E-3</c:v>
                </c:pt>
                <c:pt idx="2">
                  <c:v>8.7333333333333338E-4</c:v>
                </c:pt>
                <c:pt idx="3">
                  <c:v>1.655117E-3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E-3243-849F-B199A8165263}"/>
            </c:ext>
          </c:extLst>
        </c:ser>
        <c:ser>
          <c:idx val="2"/>
          <c:order val="1"/>
          <c:tx>
            <c:strRef>
              <c:f>'mass_no_sine (2)'!$J$6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(2)'!$J$7:$J$10</c:f>
              <c:numCache>
                <c:formatCode>General</c:formatCode>
                <c:ptCount val="4"/>
                <c:pt idx="0">
                  <c:v>1.2066666666666667E-3</c:v>
                </c:pt>
                <c:pt idx="1">
                  <c:v>1.06E-3</c:v>
                </c:pt>
                <c:pt idx="2">
                  <c:v>7.9999999999999993E-4</c:v>
                </c:pt>
                <c:pt idx="3">
                  <c:v>1.6930199999999999E-3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E-3243-849F-B199A8165263}"/>
            </c:ext>
          </c:extLst>
        </c:ser>
        <c:ser>
          <c:idx val="4"/>
          <c:order val="2"/>
          <c:tx>
            <c:strRef>
              <c:f>'mass_no_sine (2)'!$K$6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(2)'!$K$7:$K$10</c:f>
              <c:numCache>
                <c:formatCode>General</c:formatCode>
                <c:ptCount val="4"/>
                <c:pt idx="0">
                  <c:v>7.5333333333333329E-4</c:v>
                </c:pt>
                <c:pt idx="1">
                  <c:v>6.9999999999999999E-4</c:v>
                </c:pt>
                <c:pt idx="2">
                  <c:v>8.4666666666666668E-4</c:v>
                </c:pt>
                <c:pt idx="3">
                  <c:v>4.8708399999999999E-4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E-3243-849F-B199A8165263}"/>
            </c:ext>
          </c:extLst>
        </c:ser>
        <c:ser>
          <c:idx val="5"/>
          <c:order val="3"/>
          <c:tx>
            <c:strRef>
              <c:f>'mass_no_sine (2)'!$L$6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'mass_no_sine (2)'!$A$7:$A$10</c:f>
              <c:strCache>
                <c:ptCount val="4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  <c:pt idx="3">
                  <c:v>Loam Havis</c:v>
                </c:pt>
              </c:strCache>
            </c:strRef>
          </c:cat>
          <c:val>
            <c:numRef>
              <c:f>'mass_no_sine (2)'!$L$7:$L$10</c:f>
              <c:numCache>
                <c:formatCode>General</c:formatCode>
                <c:ptCount val="4"/>
                <c:pt idx="0">
                  <c:v>6.466666666666667E-4</c:v>
                </c:pt>
                <c:pt idx="1">
                  <c:v>6.1333333333333335E-4</c:v>
                </c:pt>
                <c:pt idx="2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E-3243-849F-B199A8165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  <c:max val="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latin typeface="Helvetica" pitchFamily="2" charset="0"/>
                  </a:rPr>
                  <a:t>Mass extracted (g/cm</a:t>
                </a:r>
                <a:r>
                  <a:rPr lang="en-US" baseline="30000">
                    <a:latin typeface="Helvetica" pitchFamily="2" charset="0"/>
                  </a:rPr>
                  <a:t>2</a:t>
                </a:r>
                <a:r>
                  <a:rPr lang="en-US">
                    <a:latin typeface="Helvetica" pitchFamily="2" charset="0"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746026612061045"/>
          <c:y val="5.566440187168168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36441725264597"/>
          <c:y val="2.8116650573693825E-2"/>
          <c:w val="0.81717877232173552"/>
          <c:h val="0.8524349444464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depth_no_sine!$B$6</c:f>
              <c:strCache>
                <c:ptCount val="1"/>
                <c:pt idx="0">
                  <c:v>Obs.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depth_no_sine!$B$7:$B$9</c:f>
              <c:numCache>
                <c:formatCode>General</c:formatCode>
                <c:ptCount val="3"/>
                <c:pt idx="0">
                  <c:v>3.36</c:v>
                </c:pt>
                <c:pt idx="1">
                  <c:v>2.2999999999999998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014A-A771-E630B60FE5E3}"/>
            </c:ext>
          </c:extLst>
        </c:ser>
        <c:ser>
          <c:idx val="2"/>
          <c:order val="1"/>
          <c:tx>
            <c:strRef>
              <c:f>depth_no_sine!$C$6</c:f>
              <c:strCache>
                <c:ptCount val="1"/>
                <c:pt idx="0">
                  <c:v>p_h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depth_no_sine!$C$7:$C$9</c:f>
              <c:numCache>
                <c:formatCode>General</c:formatCode>
                <c:ptCount val="3"/>
                <c:pt idx="0">
                  <c:v>3.4</c:v>
                </c:pt>
                <c:pt idx="1">
                  <c:v>2.46</c:v>
                </c:pt>
                <c:pt idx="2">
                  <c:v>1.54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A-014A-A771-E630B60FE5E3}"/>
            </c:ext>
          </c:extLst>
        </c:ser>
        <c:ser>
          <c:idx val="4"/>
          <c:order val="2"/>
          <c:tx>
            <c:strRef>
              <c:f>depth_no_sine!$D$6</c:f>
              <c:strCache>
                <c:ptCount val="1"/>
                <c:pt idx="0">
                  <c:v>np_h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depth_no_sine!$D$7:$D$9</c:f>
              <c:numCache>
                <c:formatCode>General</c:formatCode>
                <c:ptCount val="3"/>
                <c:pt idx="0">
                  <c:v>1.34</c:v>
                </c:pt>
                <c:pt idx="1">
                  <c:v>1.1599999999999999</c:v>
                </c:pt>
                <c:pt idx="2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A-014A-A771-E630B60FE5E3}"/>
            </c:ext>
          </c:extLst>
        </c:ser>
        <c:ser>
          <c:idx val="5"/>
          <c:order val="3"/>
          <c:tx>
            <c:strRef>
              <c:f>depth_no_sine!$E$6</c:f>
              <c:strCache>
                <c:ptCount val="1"/>
                <c:pt idx="0">
                  <c:v>np_c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depth_no_sine!$A$7:$A$9</c:f>
              <c:strCache>
                <c:ptCount val="3"/>
                <c:pt idx="0">
                  <c:v>Clay</c:v>
                </c:pt>
                <c:pt idx="1">
                  <c:v>Loam</c:v>
                </c:pt>
                <c:pt idx="2">
                  <c:v>Sandy Loam</c:v>
                </c:pt>
              </c:strCache>
            </c:strRef>
          </c:cat>
          <c:val>
            <c:numRef>
              <c:f>depth_no_sine!$E$7:$E$9</c:f>
              <c:numCache>
                <c:formatCode>General</c:formatCode>
                <c:ptCount val="3"/>
                <c:pt idx="0">
                  <c:v>1.32</c:v>
                </c:pt>
                <c:pt idx="1">
                  <c:v>1.08</c:v>
                </c:pt>
                <c:pt idx="2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A-014A-A771-E630B60FE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251903"/>
        <c:axId val="1406170431"/>
      </c:barChart>
      <c:catAx>
        <c:axId val="14832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06170431"/>
        <c:crosses val="autoZero"/>
        <c:auto val="1"/>
        <c:lblAlgn val="ctr"/>
        <c:lblOffset val="100"/>
        <c:noMultiLvlLbl val="0"/>
      </c:catAx>
      <c:valAx>
        <c:axId val="1406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Extraction 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48325190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8743355257141201"/>
          <c:y val="3.5557530862614269E-2"/>
          <c:w val="0.19243693952457547"/>
          <c:h val="0.31212578732162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48746</xdr:colOff>
      <xdr:row>17</xdr:row>
      <xdr:rowOff>0</xdr:rowOff>
    </xdr:from>
    <xdr:to>
      <xdr:col>12</xdr:col>
      <xdr:colOff>156209</xdr:colOff>
      <xdr:row>42</xdr:row>
      <xdr:rowOff>58614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D34C9-E17D-5B4B-8967-B5D9A89DF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156964</xdr:colOff>
      <xdr:row>17</xdr:row>
      <xdr:rowOff>2</xdr:rowOff>
    </xdr:from>
    <xdr:to>
      <xdr:col>18</xdr:col>
      <xdr:colOff>570787</xdr:colOff>
      <xdr:row>42</xdr:row>
      <xdr:rowOff>58616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3B019-847D-954F-A125-C6D3D3287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0.17039</cdr:x>
      <cdr:y>0.08865</cdr:y>
    </cdr:from>
    <cdr:to>
      <cdr:x>0.21401</cdr:x>
      <cdr:y>0.16774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767363" y="549773"/>
          <a:ext cx="407175" cy="220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0.22024</cdr:x>
      <cdr:y>0.08965</cdr:y>
    </cdr:from>
    <cdr:to>
      <cdr:x>0.27013</cdr:x>
      <cdr:y>0.16281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059048" y="511307"/>
          <a:ext cx="369677" cy="25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0.26327</cdr:x>
      <cdr:y>0.51453</cdr:y>
    </cdr:from>
    <cdr:to>
      <cdr:x>0.31317</cdr:x>
      <cdr:y>0.59362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262382" y="2673159"/>
          <a:ext cx="399641" cy="253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0.30281</cdr:x>
      <cdr:y>0.5183</cdr:y>
    </cdr:from>
    <cdr:to>
      <cdr:x>0.35271</cdr:x>
      <cdr:y>0.59739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462989" y="2692199"/>
          <a:ext cx="399642" cy="253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0.22005</cdr:x>
      <cdr:y>0.11689</cdr:y>
    </cdr:from>
    <cdr:to>
      <cdr:x>0.26367</cdr:x>
      <cdr:y>0.19598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1101332" y="673115"/>
          <a:ext cx="399642" cy="2346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0.26427</cdr:x>
      <cdr:y>0.28734</cdr:y>
    </cdr:from>
    <cdr:to>
      <cdr:x>0.31416</cdr:x>
      <cdr:y>0.3605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371068" y="1502551"/>
          <a:ext cx="369678" cy="268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0.3073</cdr:x>
      <cdr:y>0.475</cdr:y>
    </cdr:from>
    <cdr:to>
      <cdr:x>0.3572</cdr:x>
      <cdr:y>0.55409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587600" y="2465752"/>
          <a:ext cx="399641" cy="26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0.3425</cdr:x>
      <cdr:y>0.52395</cdr:y>
    </cdr:from>
    <cdr:to>
      <cdr:x>0.3924</cdr:x>
      <cdr:y>0.60304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776964" y="2713096"/>
          <a:ext cx="399642" cy="26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63016</xdr:colOff>
      <xdr:row>22</xdr:row>
      <xdr:rowOff>0</xdr:rowOff>
    </xdr:from>
    <xdr:to>
      <xdr:col>12</xdr:col>
      <xdr:colOff>170479</xdr:colOff>
      <xdr:row>47</xdr:row>
      <xdr:rowOff>58615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B9F85-6286-2643-9F9A-E1FD98DD2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0.17039</cdr:x>
      <cdr:y>0.08865</cdr:y>
    </cdr:from>
    <cdr:to>
      <cdr:x>0.21401</cdr:x>
      <cdr:y>0.16774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26133C-3D55-3C3A-B856-E49BC9285CB9}"/>
            </a:ext>
          </a:extLst>
        </cdr:cNvPr>
        <cdr:cNvSpPr txBox="1"/>
      </cdr:nvSpPr>
      <cdr:spPr>
        <a:xfrm xmlns:a="http://schemas.openxmlformats.org/drawingml/2006/main" rot="18268332">
          <a:off x="767363" y="549773"/>
          <a:ext cx="407175" cy="220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Obs.</a:t>
          </a:r>
        </a:p>
      </cdr:txBody>
    </cdr:sp>
  </cdr:relSizeAnchor>
  <cdr:relSizeAnchor xmlns:cdr="http://schemas.openxmlformats.org/drawingml/2006/chartDrawing">
    <cdr:from>
      <cdr:x>0.25399</cdr:x>
      <cdr:y>0.08683</cdr:y>
    </cdr:from>
    <cdr:to>
      <cdr:x>0.30388</cdr:x>
      <cdr:y>0.15999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AAC50F3-72E9-7F73-3439-BE8FFA032D7B}"/>
            </a:ext>
          </a:extLst>
        </cdr:cNvPr>
        <cdr:cNvSpPr txBox="1"/>
      </cdr:nvSpPr>
      <cdr:spPr>
        <a:xfrm xmlns:a="http://schemas.openxmlformats.org/drawingml/2006/main" rot="18268332">
          <a:off x="1220778" y="509324"/>
          <a:ext cx="376677" cy="2520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p_h</a:t>
          </a:r>
        </a:p>
      </cdr:txBody>
    </cdr:sp>
  </cdr:relSizeAnchor>
  <cdr:relSizeAnchor xmlns:cdr="http://schemas.openxmlformats.org/drawingml/2006/chartDrawing">
    <cdr:from>
      <cdr:x>0.29983</cdr:x>
      <cdr:y>0.51453</cdr:y>
    </cdr:from>
    <cdr:to>
      <cdr:x>0.34973</cdr:x>
      <cdr:y>0.59362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437133" y="2726509"/>
          <a:ext cx="407180" cy="2520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np_h</a:t>
          </a:r>
        </a:p>
      </cdr:txBody>
    </cdr:sp>
  </cdr:relSizeAnchor>
  <cdr:relSizeAnchor xmlns:cdr="http://schemas.openxmlformats.org/drawingml/2006/chartDrawing">
    <cdr:from>
      <cdr:x>0.34781</cdr:x>
      <cdr:y>0.51265</cdr:y>
    </cdr:from>
    <cdr:to>
      <cdr:x>0.39771</cdr:x>
      <cdr:y>0.59174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B61343E-B80E-8671-9B3D-3B2D2A888A9F}"/>
            </a:ext>
          </a:extLst>
        </cdr:cNvPr>
        <cdr:cNvSpPr txBox="1"/>
      </cdr:nvSpPr>
      <cdr:spPr>
        <a:xfrm xmlns:a="http://schemas.openxmlformats.org/drawingml/2006/main" rot="18268332">
          <a:off x="1679502" y="2716830"/>
          <a:ext cx="407179" cy="252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kern="1200">
              <a:solidFill>
                <a:schemeClr val="tx1"/>
              </a:solidFill>
            </a:rPr>
            <a:t>np_c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52B2-862A-7040-AA91-9DE7BC85293A}">
  <dimension ref="A1:U18"/>
  <sheetViews>
    <sheetView tabSelected="1" zoomScale="89" zoomScaleNormal="130" workbookViewId="0">
      <selection activeCell="Q49" sqref="Q49"/>
    </sheetView>
  </sheetViews>
  <sheetFormatPr baseColWidth="10" defaultRowHeight="16" x14ac:dyDescent="0.2"/>
  <sheetData>
    <row r="1" spans="1:21" ht="20" customHeight="1" thickBot="1" x14ac:dyDescent="0.25">
      <c r="A1" t="s">
        <v>5</v>
      </c>
      <c r="B1" t="s">
        <v>9</v>
      </c>
      <c r="C1" t="s">
        <v>1</v>
      </c>
      <c r="D1" t="s">
        <v>3</v>
      </c>
      <c r="E1" t="s">
        <v>4</v>
      </c>
      <c r="N1" s="7" t="s">
        <v>5</v>
      </c>
      <c r="O1" s="7" t="s">
        <v>10</v>
      </c>
      <c r="P1" s="4" t="s">
        <v>11</v>
      </c>
      <c r="Q1" s="5"/>
      <c r="R1" s="5"/>
      <c r="S1" s="5"/>
      <c r="T1" s="5"/>
      <c r="U1" s="6"/>
    </row>
    <row r="2" spans="1:21" ht="21" thickBot="1" x14ac:dyDescent="0.25">
      <c r="A2" t="s">
        <v>6</v>
      </c>
      <c r="B2">
        <v>-3.36</v>
      </c>
      <c r="C2">
        <v>-3.4</v>
      </c>
      <c r="D2">
        <v>-1.34</v>
      </c>
      <c r="E2">
        <v>-1.32</v>
      </c>
      <c r="I2">
        <f>I7/1500</f>
        <v>1.0577777777777776E-6</v>
      </c>
      <c r="J2">
        <f t="shared" ref="J2:L2" si="0">J7/1500</f>
        <v>8.0444444444444448E-7</v>
      </c>
      <c r="K2">
        <f t="shared" si="0"/>
        <v>5.0222222222222224E-7</v>
      </c>
      <c r="L2">
        <f t="shared" si="0"/>
        <v>4.3111111111111114E-7</v>
      </c>
      <c r="N2" s="8"/>
      <c r="O2" s="8"/>
      <c r="P2" s="1" t="s">
        <v>9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</row>
    <row r="3" spans="1:21" ht="21" thickBot="1" x14ac:dyDescent="0.25">
      <c r="A3" t="s">
        <v>7</v>
      </c>
      <c r="B3">
        <v>-2.2999999999999998</v>
      </c>
      <c r="C3">
        <v>-2.46</v>
      </c>
      <c r="D3">
        <v>-1.1599999999999999</v>
      </c>
      <c r="E3">
        <v>-1.08</v>
      </c>
      <c r="I3">
        <f t="shared" ref="I3:L3" si="1">I8/1500</f>
        <v>9.6000000000000013E-7</v>
      </c>
      <c r="J3">
        <f t="shared" si="1"/>
        <v>7.0666666666666664E-7</v>
      </c>
      <c r="K3">
        <f t="shared" si="1"/>
        <v>4.6666666666666666E-7</v>
      </c>
      <c r="L3">
        <f t="shared" si="1"/>
        <v>4.0888888888888892E-7</v>
      </c>
      <c r="N3" s="1" t="s">
        <v>12</v>
      </c>
      <c r="O3" s="1" t="s">
        <v>15</v>
      </c>
      <c r="P3" s="1">
        <v>2.38</v>
      </c>
      <c r="Q3" s="1">
        <v>1.83</v>
      </c>
      <c r="R3" s="1">
        <v>1.81</v>
      </c>
      <c r="S3" s="1">
        <v>1.61</v>
      </c>
      <c r="T3" s="2">
        <v>1.1299999999999999</v>
      </c>
      <c r="U3" s="2">
        <v>0.97</v>
      </c>
    </row>
    <row r="4" spans="1:21" ht="21" thickBot="1" x14ac:dyDescent="0.25">
      <c r="A4" t="s">
        <v>8</v>
      </c>
      <c r="B4">
        <v>-2.5</v>
      </c>
      <c r="C4">
        <v>-1.54</v>
      </c>
      <c r="D4">
        <v>-1.52</v>
      </c>
      <c r="E4">
        <v>-1.06</v>
      </c>
      <c r="I4">
        <f t="shared" ref="I4:L4" si="2">I9/1500</f>
        <v>5.8222222222222221E-7</v>
      </c>
      <c r="J4">
        <f t="shared" si="2"/>
        <v>5.3333333333333324E-7</v>
      </c>
      <c r="K4">
        <f t="shared" si="2"/>
        <v>5.6444444444444445E-7</v>
      </c>
      <c r="L4">
        <f t="shared" si="2"/>
        <v>3.3333333333333335E-7</v>
      </c>
      <c r="N4" s="1"/>
      <c r="O4" s="1" t="s">
        <v>16</v>
      </c>
      <c r="P4" s="1">
        <v>3.36</v>
      </c>
      <c r="Q4" s="1">
        <v>1.81</v>
      </c>
      <c r="R4" s="1">
        <v>1.8</v>
      </c>
      <c r="S4" s="1">
        <v>1.62</v>
      </c>
      <c r="T4" s="1">
        <v>1.1299999999999999</v>
      </c>
      <c r="U4" s="1">
        <v>0.97</v>
      </c>
    </row>
    <row r="5" spans="1:21" ht="21" thickBot="1" x14ac:dyDescent="0.25">
      <c r="H5" t="s">
        <v>24</v>
      </c>
      <c r="N5" s="1" t="s">
        <v>13</v>
      </c>
      <c r="O5" s="1" t="s">
        <v>17</v>
      </c>
      <c r="P5" s="1">
        <v>2.16</v>
      </c>
      <c r="Q5" s="1">
        <v>1.65</v>
      </c>
      <c r="R5" s="1">
        <v>1.59</v>
      </c>
      <c r="S5" s="1">
        <v>1.38</v>
      </c>
      <c r="T5" s="1">
        <v>1.05</v>
      </c>
      <c r="U5" s="1">
        <v>0.92</v>
      </c>
    </row>
    <row r="6" spans="1:21" ht="21" thickBot="1" x14ac:dyDescent="0.25">
      <c r="A6" t="s">
        <v>5</v>
      </c>
      <c r="B6" t="s">
        <v>9</v>
      </c>
      <c r="C6" t="s">
        <v>1</v>
      </c>
      <c r="D6" t="s">
        <v>3</v>
      </c>
      <c r="E6" t="s">
        <v>4</v>
      </c>
      <c r="H6" s="3" t="s">
        <v>23</v>
      </c>
      <c r="I6" s="1" t="s">
        <v>9</v>
      </c>
      <c r="J6" s="1" t="s">
        <v>1</v>
      </c>
      <c r="K6" s="1" t="s">
        <v>3</v>
      </c>
      <c r="L6" s="1" t="s">
        <v>4</v>
      </c>
      <c r="N6" s="1"/>
      <c r="O6" s="1" t="s">
        <v>18</v>
      </c>
      <c r="P6" s="1">
        <v>1.64</v>
      </c>
      <c r="Q6" s="1">
        <v>1.61</v>
      </c>
      <c r="R6" s="1">
        <v>1.56</v>
      </c>
      <c r="S6" s="1">
        <v>1.37</v>
      </c>
      <c r="T6" s="1">
        <v>1.05</v>
      </c>
      <c r="U6" s="1">
        <v>0.92</v>
      </c>
    </row>
    <row r="7" spans="1:21" ht="21" thickBot="1" x14ac:dyDescent="0.25">
      <c r="A7" t="s">
        <v>6</v>
      </c>
      <c r="B7">
        <f>-B2</f>
        <v>3.36</v>
      </c>
      <c r="C7">
        <f t="shared" ref="C7:E7" si="3">-C2</f>
        <v>3.4</v>
      </c>
      <c r="D7">
        <f t="shared" si="3"/>
        <v>1.34</v>
      </c>
      <c r="E7">
        <f t="shared" si="3"/>
        <v>1.32</v>
      </c>
      <c r="H7" t="s">
        <v>6</v>
      </c>
      <c r="I7" s="1">
        <v>1.5866666666666666E-3</v>
      </c>
      <c r="J7" s="1">
        <v>1.2066666666666667E-3</v>
      </c>
      <c r="K7" s="2">
        <v>7.5333333333333329E-4</v>
      </c>
      <c r="L7" s="2">
        <v>6.466666666666667E-4</v>
      </c>
      <c r="N7" s="1" t="s">
        <v>14</v>
      </c>
      <c r="O7" s="1" t="s">
        <v>19</v>
      </c>
      <c r="P7" s="1">
        <v>1.31</v>
      </c>
      <c r="Q7" s="1">
        <v>1.29</v>
      </c>
      <c r="R7" s="1">
        <v>1.2</v>
      </c>
      <c r="S7" s="1">
        <v>1.35</v>
      </c>
      <c r="T7" s="1">
        <v>1.27</v>
      </c>
      <c r="U7" s="2">
        <v>0.75</v>
      </c>
    </row>
    <row r="8" spans="1:21" ht="21" thickBot="1" x14ac:dyDescent="0.25">
      <c r="A8" t="s">
        <v>7</v>
      </c>
      <c r="B8">
        <f t="shared" ref="B8:E9" si="4">-B3</f>
        <v>2.2999999999999998</v>
      </c>
      <c r="C8">
        <f t="shared" si="4"/>
        <v>2.46</v>
      </c>
      <c r="D8">
        <f t="shared" si="4"/>
        <v>1.1599999999999999</v>
      </c>
      <c r="E8">
        <f t="shared" si="4"/>
        <v>1.08</v>
      </c>
      <c r="H8" t="s">
        <v>7</v>
      </c>
      <c r="I8" s="1">
        <v>1.4400000000000001E-3</v>
      </c>
      <c r="J8" s="1">
        <v>1.06E-3</v>
      </c>
      <c r="K8" s="1">
        <v>6.9999999999999999E-4</v>
      </c>
      <c r="L8" s="1">
        <v>6.1333333333333335E-4</v>
      </c>
      <c r="N8" s="1"/>
      <c r="O8" s="1" t="s">
        <v>20</v>
      </c>
      <c r="P8" s="1">
        <v>1.44</v>
      </c>
      <c r="Q8" s="1">
        <v>1.29</v>
      </c>
      <c r="R8" s="1">
        <v>1.2</v>
      </c>
      <c r="S8" s="1">
        <v>1.36</v>
      </c>
      <c r="T8" s="1">
        <v>1.27</v>
      </c>
      <c r="U8" s="1">
        <v>0.75</v>
      </c>
    </row>
    <row r="9" spans="1:21" ht="20" thickBot="1" x14ac:dyDescent="0.25">
      <c r="A9" t="s">
        <v>8</v>
      </c>
      <c r="B9">
        <v>1.5</v>
      </c>
      <c r="C9">
        <f t="shared" si="4"/>
        <v>1.54</v>
      </c>
      <c r="D9">
        <f t="shared" si="4"/>
        <v>1.52</v>
      </c>
      <c r="E9">
        <f t="shared" si="4"/>
        <v>1.06</v>
      </c>
      <c r="H9" t="s">
        <v>8</v>
      </c>
      <c r="I9" s="1">
        <v>8.7333333333333338E-4</v>
      </c>
      <c r="J9" s="1">
        <v>7.9999999999999993E-4</v>
      </c>
      <c r="K9" s="1">
        <v>8.4666666666666668E-4</v>
      </c>
      <c r="L9" s="2">
        <v>5.0000000000000001E-4</v>
      </c>
    </row>
    <row r="10" spans="1:21" ht="20" thickBot="1" x14ac:dyDescent="0.25">
      <c r="A10" t="s">
        <v>22</v>
      </c>
      <c r="B10">
        <v>2.79</v>
      </c>
      <c r="C10">
        <v>2.79</v>
      </c>
      <c r="D10">
        <v>0.8</v>
      </c>
      <c r="H10" t="s">
        <v>21</v>
      </c>
      <c r="I10" s="1">
        <v>1.655117E-3</v>
      </c>
      <c r="J10" s="1">
        <v>1.6930199999999999E-3</v>
      </c>
      <c r="K10" s="1">
        <v>4.8708399999999999E-4</v>
      </c>
      <c r="L10" s="1"/>
    </row>
    <row r="12" spans="1:21" x14ac:dyDescent="0.2">
      <c r="A12" t="s">
        <v>5</v>
      </c>
      <c r="B12" t="s">
        <v>6</v>
      </c>
      <c r="C12" t="s">
        <v>7</v>
      </c>
      <c r="D12" t="s">
        <v>8</v>
      </c>
    </row>
    <row r="13" spans="1:21" x14ac:dyDescent="0.2">
      <c r="A13" t="s">
        <v>9</v>
      </c>
      <c r="B13">
        <v>3.36</v>
      </c>
      <c r="C13">
        <v>2.2999999999999998</v>
      </c>
      <c r="D13">
        <v>2.5</v>
      </c>
    </row>
    <row r="14" spans="1:21" x14ac:dyDescent="0.2">
      <c r="A14" t="s">
        <v>0</v>
      </c>
      <c r="B14">
        <v>3.76</v>
      </c>
      <c r="C14">
        <v>2.86</v>
      </c>
      <c r="D14">
        <v>2.66</v>
      </c>
    </row>
    <row r="15" spans="1:21" x14ac:dyDescent="0.2">
      <c r="A15" t="s">
        <v>1</v>
      </c>
      <c r="B15">
        <v>3.4</v>
      </c>
      <c r="C15">
        <v>2.46</v>
      </c>
      <c r="D15">
        <v>1.54</v>
      </c>
    </row>
    <row r="16" spans="1:21" x14ac:dyDescent="0.2">
      <c r="A16" t="s">
        <v>2</v>
      </c>
      <c r="B16">
        <v>1.76</v>
      </c>
      <c r="C16">
        <v>1.5</v>
      </c>
      <c r="D16">
        <v>1.62</v>
      </c>
    </row>
    <row r="17" spans="1:4" x14ac:dyDescent="0.2">
      <c r="A17" t="s">
        <v>3</v>
      </c>
      <c r="B17">
        <v>1.34</v>
      </c>
      <c r="C17">
        <v>1.1599999999999999</v>
      </c>
      <c r="D17">
        <v>1.52</v>
      </c>
    </row>
    <row r="18" spans="1:4" x14ac:dyDescent="0.2">
      <c r="A18" t="s">
        <v>4</v>
      </c>
      <c r="B18">
        <v>1.32</v>
      </c>
      <c r="C18">
        <v>1.08</v>
      </c>
      <c r="D18">
        <v>1.06</v>
      </c>
    </row>
  </sheetData>
  <mergeCells count="2">
    <mergeCell ref="N1:N2"/>
    <mergeCell ref="O1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732-80BD-CD4B-915E-905C3F10AFF4}">
  <dimension ref="A1:N18"/>
  <sheetViews>
    <sheetView zoomScale="89" zoomScaleNormal="130" workbookViewId="0">
      <selection activeCell="C38" sqref="C38"/>
    </sheetView>
  </sheetViews>
  <sheetFormatPr baseColWidth="10" defaultRowHeight="16" x14ac:dyDescent="0.2"/>
  <sheetData>
    <row r="1" spans="1:14" ht="20" thickBot="1" x14ac:dyDescent="0.25">
      <c r="A1" t="s">
        <v>5</v>
      </c>
      <c r="B1" t="s">
        <v>9</v>
      </c>
      <c r="C1" t="s">
        <v>1</v>
      </c>
      <c r="D1" t="s">
        <v>3</v>
      </c>
      <c r="E1" t="s">
        <v>4</v>
      </c>
      <c r="G1" s="7" t="s">
        <v>5</v>
      </c>
      <c r="H1" s="7" t="s">
        <v>10</v>
      </c>
      <c r="I1" s="9" t="s">
        <v>11</v>
      </c>
      <c r="J1" s="10"/>
      <c r="K1" s="10"/>
      <c r="L1" s="10"/>
      <c r="M1" s="10"/>
      <c r="N1" s="11"/>
    </row>
    <row r="2" spans="1:14" ht="21" thickBot="1" x14ac:dyDescent="0.25">
      <c r="A2" t="s">
        <v>6</v>
      </c>
      <c r="B2">
        <v>-3.36</v>
      </c>
      <c r="C2">
        <v>-3.4</v>
      </c>
      <c r="D2">
        <v>-1.34</v>
      </c>
      <c r="E2">
        <v>-1.32</v>
      </c>
      <c r="G2" s="8"/>
      <c r="H2" s="8"/>
      <c r="I2" s="1" t="s">
        <v>9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</row>
    <row r="3" spans="1:14" ht="21" thickBot="1" x14ac:dyDescent="0.25">
      <c r="A3" t="s">
        <v>7</v>
      </c>
      <c r="B3">
        <v>-2.2999999999999998</v>
      </c>
      <c r="C3">
        <v>-2.46</v>
      </c>
      <c r="D3">
        <v>-1.1599999999999999</v>
      </c>
      <c r="E3">
        <v>-1.08</v>
      </c>
      <c r="G3" s="1" t="s">
        <v>12</v>
      </c>
      <c r="H3" s="1" t="s">
        <v>15</v>
      </c>
      <c r="I3" s="1">
        <v>2.38</v>
      </c>
      <c r="J3" s="1">
        <v>1.83</v>
      </c>
      <c r="K3" s="1">
        <v>1.81</v>
      </c>
      <c r="L3" s="1">
        <v>1.61</v>
      </c>
      <c r="M3" s="2">
        <v>1.1299999999999999</v>
      </c>
      <c r="N3" s="2">
        <v>0.97</v>
      </c>
    </row>
    <row r="4" spans="1:14" ht="21" thickBot="1" x14ac:dyDescent="0.25">
      <c r="A4" t="s">
        <v>8</v>
      </c>
      <c r="B4">
        <v>-2.5</v>
      </c>
      <c r="C4">
        <v>-1.54</v>
      </c>
      <c r="D4">
        <v>-1.52</v>
      </c>
      <c r="E4">
        <v>-1.06</v>
      </c>
      <c r="G4" s="1"/>
      <c r="H4" s="1" t="s">
        <v>16</v>
      </c>
      <c r="I4" s="1">
        <v>3.36</v>
      </c>
      <c r="J4" s="1">
        <v>1.81</v>
      </c>
      <c r="K4" s="1">
        <v>1.8</v>
      </c>
      <c r="L4" s="1">
        <v>1.62</v>
      </c>
      <c r="M4" s="1">
        <v>1.1299999999999999</v>
      </c>
      <c r="N4" s="1">
        <v>0.97</v>
      </c>
    </row>
    <row r="5" spans="1:14" ht="21" thickBot="1" x14ac:dyDescent="0.25">
      <c r="G5" s="1" t="s">
        <v>13</v>
      </c>
      <c r="H5" s="1" t="s">
        <v>17</v>
      </c>
      <c r="I5" s="1">
        <v>2.16</v>
      </c>
      <c r="J5" s="1">
        <v>1.65</v>
      </c>
      <c r="K5" s="1">
        <v>1.59</v>
      </c>
      <c r="L5" s="1">
        <v>1.38</v>
      </c>
      <c r="M5" s="1">
        <v>1.05</v>
      </c>
      <c r="N5" s="1">
        <v>0.92</v>
      </c>
    </row>
    <row r="6" spans="1:14" ht="21" thickBot="1" x14ac:dyDescent="0.25">
      <c r="A6" t="s">
        <v>5</v>
      </c>
      <c r="B6" t="s">
        <v>9</v>
      </c>
      <c r="C6" t="s">
        <v>1</v>
      </c>
      <c r="D6" t="s">
        <v>3</v>
      </c>
      <c r="E6" t="s">
        <v>4</v>
      </c>
      <c r="G6" s="1"/>
      <c r="H6" s="1" t="s">
        <v>18</v>
      </c>
      <c r="I6" s="1">
        <v>1.64</v>
      </c>
      <c r="J6" s="1">
        <v>1.61</v>
      </c>
      <c r="K6" s="1">
        <v>1.56</v>
      </c>
      <c r="L6" s="1">
        <v>1.37</v>
      </c>
      <c r="M6" s="1">
        <v>1.05</v>
      </c>
      <c r="N6" s="1">
        <v>0.92</v>
      </c>
    </row>
    <row r="7" spans="1:14" ht="21" thickBot="1" x14ac:dyDescent="0.25">
      <c r="A7" t="s">
        <v>6</v>
      </c>
      <c r="B7">
        <f>-B2</f>
        <v>3.36</v>
      </c>
      <c r="C7">
        <f t="shared" ref="C7:E7" si="0">-C2</f>
        <v>3.4</v>
      </c>
      <c r="D7">
        <f t="shared" si="0"/>
        <v>1.34</v>
      </c>
      <c r="E7">
        <f t="shared" si="0"/>
        <v>1.32</v>
      </c>
      <c r="G7" s="1" t="s">
        <v>14</v>
      </c>
      <c r="H7" s="1" t="s">
        <v>19</v>
      </c>
      <c r="I7" s="1">
        <v>1.31</v>
      </c>
      <c r="J7" s="1">
        <v>1.29</v>
      </c>
      <c r="K7" s="1">
        <v>1.2</v>
      </c>
      <c r="L7" s="1">
        <v>1.35</v>
      </c>
      <c r="M7" s="1">
        <v>1.27</v>
      </c>
      <c r="N7" s="2">
        <v>0.75</v>
      </c>
    </row>
    <row r="8" spans="1:14" ht="21" thickBot="1" x14ac:dyDescent="0.25">
      <c r="A8" t="s">
        <v>7</v>
      </c>
      <c r="B8">
        <f t="shared" ref="B8:E9" si="1">-B3</f>
        <v>2.2999999999999998</v>
      </c>
      <c r="C8">
        <f t="shared" si="1"/>
        <v>2.46</v>
      </c>
      <c r="D8">
        <f t="shared" si="1"/>
        <v>1.1599999999999999</v>
      </c>
      <c r="E8">
        <f t="shared" si="1"/>
        <v>1.08</v>
      </c>
      <c r="G8" s="1"/>
      <c r="H8" s="1" t="s">
        <v>20</v>
      </c>
      <c r="I8" s="1">
        <v>1.44</v>
      </c>
      <c r="J8" s="1">
        <v>1.29</v>
      </c>
      <c r="K8" s="1">
        <v>1.2</v>
      </c>
      <c r="L8" s="1">
        <v>1.36</v>
      </c>
      <c r="M8" s="1">
        <v>1.27</v>
      </c>
      <c r="N8" s="1">
        <v>0.75</v>
      </c>
    </row>
    <row r="9" spans="1:14" ht="17" thickBot="1" x14ac:dyDescent="0.25">
      <c r="A9" t="s">
        <v>8</v>
      </c>
      <c r="B9">
        <v>1.5</v>
      </c>
      <c r="C9">
        <f t="shared" si="1"/>
        <v>1.54</v>
      </c>
      <c r="D9">
        <f t="shared" si="1"/>
        <v>1.52</v>
      </c>
      <c r="E9">
        <f t="shared" si="1"/>
        <v>1.06</v>
      </c>
    </row>
    <row r="10" spans="1:14" ht="21" thickBot="1" x14ac:dyDescent="0.25">
      <c r="H10" s="3" t="s">
        <v>10</v>
      </c>
      <c r="I10" s="1" t="s">
        <v>9</v>
      </c>
      <c r="J10" s="1" t="s">
        <v>0</v>
      </c>
      <c r="K10" s="1" t="s">
        <v>1</v>
      </c>
      <c r="L10" s="1" t="s">
        <v>2</v>
      </c>
      <c r="M10" s="1" t="s">
        <v>3</v>
      </c>
      <c r="N10" s="1" t="s">
        <v>4</v>
      </c>
    </row>
    <row r="11" spans="1:14" ht="21" thickBot="1" x14ac:dyDescent="0.25">
      <c r="H11" s="1" t="s">
        <v>15</v>
      </c>
      <c r="I11" s="1">
        <v>2.38</v>
      </c>
      <c r="J11" s="1">
        <v>1.83</v>
      </c>
      <c r="K11" s="1">
        <v>1.81</v>
      </c>
      <c r="L11" s="1">
        <v>1.61</v>
      </c>
      <c r="M11" s="2">
        <v>1.1299999999999999</v>
      </c>
      <c r="N11" s="2">
        <v>0.97</v>
      </c>
    </row>
    <row r="12" spans="1:14" ht="21" thickBot="1" x14ac:dyDescent="0.25">
      <c r="A12" t="s">
        <v>5</v>
      </c>
      <c r="B12" t="s">
        <v>6</v>
      </c>
      <c r="C12" t="s">
        <v>7</v>
      </c>
      <c r="D12" t="s">
        <v>8</v>
      </c>
      <c r="H12" s="1" t="s">
        <v>16</v>
      </c>
      <c r="I12" s="1">
        <v>3.36</v>
      </c>
      <c r="J12" s="1">
        <v>1.81</v>
      </c>
      <c r="K12" s="1">
        <v>1.8</v>
      </c>
      <c r="L12" s="1">
        <v>1.62</v>
      </c>
      <c r="M12" s="1">
        <v>1.1299999999999999</v>
      </c>
      <c r="N12" s="1">
        <v>0.97</v>
      </c>
    </row>
    <row r="13" spans="1:14" ht="21" thickBot="1" x14ac:dyDescent="0.25">
      <c r="A13" t="s">
        <v>9</v>
      </c>
      <c r="B13">
        <v>3.36</v>
      </c>
      <c r="C13">
        <v>2.2999999999999998</v>
      </c>
      <c r="D13">
        <v>2.5</v>
      </c>
      <c r="H13" s="1" t="s">
        <v>17</v>
      </c>
      <c r="I13" s="1">
        <v>2.16</v>
      </c>
      <c r="J13" s="1">
        <v>1.65</v>
      </c>
      <c r="K13" s="1">
        <v>1.59</v>
      </c>
      <c r="L13" s="1">
        <v>1.38</v>
      </c>
      <c r="M13" s="1">
        <v>1.05</v>
      </c>
      <c r="N13" s="1">
        <v>0.92</v>
      </c>
    </row>
    <row r="14" spans="1:14" ht="21" thickBot="1" x14ac:dyDescent="0.25">
      <c r="A14" t="s">
        <v>0</v>
      </c>
      <c r="B14">
        <v>3.76</v>
      </c>
      <c r="C14">
        <v>2.86</v>
      </c>
      <c r="D14">
        <v>2.66</v>
      </c>
      <c r="H14" s="1" t="s">
        <v>18</v>
      </c>
      <c r="I14" s="1">
        <v>1.64</v>
      </c>
      <c r="J14" s="1">
        <v>1.61</v>
      </c>
      <c r="K14" s="1">
        <v>1.56</v>
      </c>
      <c r="L14" s="1">
        <v>1.37</v>
      </c>
      <c r="M14" s="1">
        <v>1.05</v>
      </c>
      <c r="N14" s="1">
        <v>0.92</v>
      </c>
    </row>
    <row r="15" spans="1:14" ht="21" thickBot="1" x14ac:dyDescent="0.25">
      <c r="A15" t="s">
        <v>1</v>
      </c>
      <c r="B15">
        <v>3.4</v>
      </c>
      <c r="C15">
        <v>2.46</v>
      </c>
      <c r="D15">
        <v>1.54</v>
      </c>
      <c r="H15" s="1" t="s">
        <v>19</v>
      </c>
      <c r="I15" s="1">
        <v>1.31</v>
      </c>
      <c r="J15" s="1">
        <v>1.29</v>
      </c>
      <c r="K15" s="1">
        <v>1.2</v>
      </c>
      <c r="L15" s="1">
        <v>1.35</v>
      </c>
      <c r="M15" s="1">
        <v>1.27</v>
      </c>
      <c r="N15" s="2">
        <v>0.75</v>
      </c>
    </row>
    <row r="16" spans="1:14" ht="21" thickBot="1" x14ac:dyDescent="0.25">
      <c r="A16" t="s">
        <v>2</v>
      </c>
      <c r="B16">
        <v>1.76</v>
      </c>
      <c r="C16">
        <v>1.5</v>
      </c>
      <c r="D16">
        <v>1.62</v>
      </c>
      <c r="H16" s="1" t="s">
        <v>20</v>
      </c>
      <c r="I16" s="1">
        <v>1.44</v>
      </c>
      <c r="J16" s="1">
        <v>1.29</v>
      </c>
      <c r="K16" s="1">
        <v>1.2</v>
      </c>
      <c r="L16" s="1">
        <v>1.36</v>
      </c>
      <c r="M16" s="1">
        <v>1.27</v>
      </c>
      <c r="N16" s="1">
        <v>0.75</v>
      </c>
    </row>
    <row r="17" spans="1:4" x14ac:dyDescent="0.2">
      <c r="A17" t="s">
        <v>3</v>
      </c>
      <c r="B17">
        <v>1.34</v>
      </c>
      <c r="C17">
        <v>1.1599999999999999</v>
      </c>
      <c r="D17">
        <v>1.52</v>
      </c>
    </row>
    <row r="18" spans="1:4" x14ac:dyDescent="0.2">
      <c r="A18" t="s">
        <v>4</v>
      </c>
      <c r="B18">
        <v>1.32</v>
      </c>
      <c r="C18">
        <v>1.08</v>
      </c>
      <c r="D18">
        <v>1.06</v>
      </c>
    </row>
  </sheetData>
  <mergeCells count="3">
    <mergeCell ref="G1:G2"/>
    <mergeCell ref="H1:H2"/>
    <mergeCell ref="I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mass_no_sine (2)</vt:lpstr>
      <vt:lpstr>depth_no_sine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Munoz-Carpena,Rafael</dc:creator>
  <cp:lastModifiedBy>Munoz-Carpena,Rafael</cp:lastModifiedBy>
  <dcterms:created xsi:type="dcterms:W3CDTF">2025-09-09T17:44:07Z</dcterms:created>
  <dcterms:modified xsi:type="dcterms:W3CDTF">2026-03-15T16:27:09Z</dcterms:modified>
</cp:coreProperties>
</file>