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pena/UF Dropbox/Rafael Munoz-Carpena/Work/Miguel/2019_Sabatico_UPNavarra/Projects/2024_NSF_Hydro_Lucie/Drop_pressure/Newgraphs_pressure_drop/"/>
    </mc:Choice>
  </mc:AlternateContent>
  <xr:revisionPtr revIDLastSave="0" documentId="13_ncr:1_{252CF006-BBAF-5A4B-A082-9B535715CC55}" xr6:coauthVersionLast="47" xr6:coauthVersionMax="47" xr10:uidLastSave="{00000000-0000-0000-0000-000000000000}"/>
  <bookViews>
    <workbookView xWindow="22160" yWindow="600" windowWidth="29040" windowHeight="15840" xr2:uid="{3E51DBA7-851A-407D-9D1F-EA4B1EBEAA2C}"/>
  </bookViews>
  <sheets>
    <sheet name="Experiments" sheetId="1" r:id="rId1"/>
    <sheet name="XYZ_contour" sheetId="3" r:id="rId2"/>
    <sheet name="yu model" sheetId="2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3" l="1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5" i="3"/>
  <c r="P5" i="3"/>
</calcChain>
</file>

<file path=xl/sharedStrings.xml><?xml version="1.0" encoding="utf-8"?>
<sst xmlns="http://schemas.openxmlformats.org/spreadsheetml/2006/main" count="70" uniqueCount="36">
  <si>
    <t xml:space="preserve"> runoff depth (mm)</t>
  </si>
  <si>
    <t>drop diameter (mm)</t>
  </si>
  <si>
    <t>fall velocity 4.9m/s</t>
  </si>
  <si>
    <t>5.11 m/s</t>
  </si>
  <si>
    <t>5.18 m/s</t>
  </si>
  <si>
    <t>Palmer</t>
  </si>
  <si>
    <t>Yu</t>
  </si>
  <si>
    <t>drop diameter</t>
  </si>
  <si>
    <t>3.45 m/s</t>
  </si>
  <si>
    <t>4.62 m/s</t>
  </si>
  <si>
    <t>2.9 mm 4.9 m/s (P)</t>
  </si>
  <si>
    <t>4.7 mm 5.11 m/s (P)</t>
  </si>
  <si>
    <t>5.9 mm 5.18 m/s (P)</t>
  </si>
  <si>
    <t>2 mm 4.62 m/s (Y)</t>
  </si>
  <si>
    <t>2 mm 5.7 m/s (Y)</t>
  </si>
  <si>
    <t>4.5 mm 3.7 m/s (Y)</t>
  </si>
  <si>
    <t>4.5 mm 5.1 m/s (Y)</t>
  </si>
  <si>
    <t>4.5 mm 6.7 m/s (Y)</t>
  </si>
  <si>
    <t>2 mm 3.49 m/s (Y)</t>
  </si>
  <si>
    <t>Yu experiments</t>
  </si>
  <si>
    <t>Palmer experiments</t>
  </si>
  <si>
    <t xml:space="preserve">4.5 mm </t>
  </si>
  <si>
    <t>Velocity (m/s)</t>
  </si>
  <si>
    <t>2 mm</t>
  </si>
  <si>
    <t>Pressure head (mm)</t>
  </si>
  <si>
    <t>X</t>
  </si>
  <si>
    <t>Y</t>
  </si>
  <si>
    <t>Z</t>
  </si>
  <si>
    <t>Yu- drop diameter =2 mm</t>
  </si>
  <si>
    <t>Yu- drop diameter =4.5 mm</t>
  </si>
  <si>
    <t>runoff_depth_mm</t>
  </si>
  <si>
    <t>drop_diameter_mm</t>
  </si>
  <si>
    <t>pressure_head_mm</t>
  </si>
  <si>
    <t>drop_velocity_m/s</t>
  </si>
  <si>
    <t>Pressure head (m)</t>
  </si>
  <si>
    <t>pressure_head_m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</si>
</sst>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Experiments!$A$7</c:f>
              <c:strCache>
                <c:ptCount val="1"/>
                <c:pt idx="0">
                  <c:v>2.9 mm 4.9 m/s (P)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Experiments!$B$6:$J$6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</c:numCache>
            </c:numRef>
          </c:xVal>
          <c:yVal>
            <c:numRef>
              <c:f>Experiments!$B$7:$J$7</c:f>
              <c:numCache>
                <c:formatCode>General</c:formatCode>
                <c:ptCount val="9"/>
                <c:pt idx="0">
                  <c:v>7.8880309567021176E-3</c:v>
                </c:pt>
                <c:pt idx="1">
                  <c:v>1.5392937580437501E-2</c:v>
                </c:pt>
                <c:pt idx="2">
                  <c:v>1.4584942084942E-2</c:v>
                </c:pt>
                <c:pt idx="3">
                  <c:v>1.30849823037323E-2</c:v>
                </c:pt>
                <c:pt idx="4">
                  <c:v>1.3604407979407901E-2</c:v>
                </c:pt>
                <c:pt idx="5">
                  <c:v>1.2276383526383501E-2</c:v>
                </c:pt>
                <c:pt idx="6">
                  <c:v>9.5055099742599701E-3</c:v>
                </c:pt>
                <c:pt idx="7">
                  <c:v>8.3518339768339795E-3</c:v>
                </c:pt>
                <c:pt idx="8">
                  <c:v>6.562097812097812E-3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BF-428A-AEE8-F0E7C34C4D9E}"/>
            </c:ext>
          </c:extLst>
        </c:ser>
        <c:ser>
          <c:idx val="1"/>
          <c:order val="1"/>
          <c:tx>
            <c:strRef>
              <c:f>Experiments!$A$8</c:f>
              <c:strCache>
                <c:ptCount val="1"/>
                <c:pt idx="0">
                  <c:v>4.7 mm 5.11 m/s (P)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Experiments!$B$6:$J$6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</c:numCache>
            </c:numRef>
          </c:xVal>
          <c:yVal>
            <c:numRef>
              <c:f>Experiments!$B$8:$J$8</c:f>
              <c:numCache>
                <c:formatCode>General</c:formatCode>
                <c:ptCount val="9"/>
                <c:pt idx="0">
                  <c:v>1.2975779764856544E-2</c:v>
                </c:pt>
                <c:pt idx="1">
                  <c:v>2.9661961068211E-2</c:v>
                </c:pt>
                <c:pt idx="2">
                  <c:v>3.3356258043757997E-2</c:v>
                </c:pt>
                <c:pt idx="3">
                  <c:v>3.2548262548262506E-2</c:v>
                </c:pt>
                <c:pt idx="4">
                  <c:v>3.0584781209781201E-2</c:v>
                </c:pt>
                <c:pt idx="5">
                  <c:v>2.7583655083654998E-2</c:v>
                </c:pt>
                <c:pt idx="6">
                  <c:v>1.9964808558558499E-2</c:v>
                </c:pt>
                <c:pt idx="7">
                  <c:v>1.43647442084942E-2</c:v>
                </c:pt>
                <c:pt idx="8">
                  <c:v>8.8242036679536708E-3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BF-428A-AEE8-F0E7C34C4D9E}"/>
            </c:ext>
          </c:extLst>
        </c:ser>
        <c:ser>
          <c:idx val="2"/>
          <c:order val="2"/>
          <c:tx>
            <c:strRef>
              <c:f>Experiments!$A$9</c:f>
              <c:strCache>
                <c:ptCount val="1"/>
                <c:pt idx="0">
                  <c:v>5.9 mm 5.18 m/s (P)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Experiments!$B$6:$J$6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</c:numCache>
            </c:numRef>
          </c:xVal>
          <c:yVal>
            <c:numRef>
              <c:f>Experiments!$B$9:$J$9</c:f>
              <c:numCache>
                <c:formatCode>General</c:formatCode>
                <c:ptCount val="9"/>
                <c:pt idx="0">
                  <c:v>2.0136501258999736E-2</c:v>
                </c:pt>
                <c:pt idx="1">
                  <c:v>3.4285714285714197E-2</c:v>
                </c:pt>
                <c:pt idx="2">
                  <c:v>4.1731418918918899E-2</c:v>
                </c:pt>
                <c:pt idx="3">
                  <c:v>4.2424589768339703E-2</c:v>
                </c:pt>
                <c:pt idx="4">
                  <c:v>3.9076576576576497E-2</c:v>
                </c:pt>
                <c:pt idx="5">
                  <c:v>3.59011019948519E-2</c:v>
                </c:pt>
                <c:pt idx="6">
                  <c:v>3.07645592020592E-2</c:v>
                </c:pt>
                <c:pt idx="7">
                  <c:v>2.2566763191763099E-2</c:v>
                </c:pt>
                <c:pt idx="8">
                  <c:v>1.2294280888030799E-2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BF-428A-AEE8-F0E7C34C4D9E}"/>
            </c:ext>
          </c:extLst>
        </c:ser>
        <c:ser>
          <c:idx val="3"/>
          <c:order val="3"/>
          <c:tx>
            <c:strRef>
              <c:f>Experiments!$A$14</c:f>
              <c:strCache>
                <c:ptCount val="1"/>
                <c:pt idx="0">
                  <c:v>2 mm 3.49 m/s (Y)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Experiments!$B$13:$I$13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</c:numCache>
            </c:numRef>
          </c:xVal>
          <c:yVal>
            <c:numRef>
              <c:f>Experiments!$B$14:$I$14</c:f>
              <c:numCache>
                <c:formatCode>General</c:formatCode>
                <c:ptCount val="8"/>
                <c:pt idx="0">
                  <c:v>3.31523175367981E-2</c:v>
                </c:pt>
                <c:pt idx="1">
                  <c:v>8.7015256051945794E-2</c:v>
                </c:pt>
                <c:pt idx="2">
                  <c:v>0.119082323584047</c:v>
                </c:pt>
                <c:pt idx="3">
                  <c:v>0.141007803605181</c:v>
                </c:pt>
                <c:pt idx="4">
                  <c:v>0.13239069514508001</c:v>
                </c:pt>
                <c:pt idx="5">
                  <c:v>0.145077147694509</c:v>
                </c:pt>
                <c:pt idx="6">
                  <c:v>0.18089810510731599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BF-428A-AEE8-F0E7C34C4D9E}"/>
            </c:ext>
          </c:extLst>
        </c:ser>
        <c:ser>
          <c:idx val="4"/>
          <c:order val="4"/>
          <c:tx>
            <c:strRef>
              <c:f>Experiments!$A$15</c:f>
              <c:strCache>
                <c:ptCount val="1"/>
                <c:pt idx="0">
                  <c:v>2 mm 4.62 m/s (Y)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Experiments!$B$13:$H$13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</c:numCache>
            </c:numRef>
          </c:xVal>
          <c:yVal>
            <c:numRef>
              <c:f>Experiments!$B$15:$H$15</c:f>
              <c:numCache>
                <c:formatCode>General</c:formatCode>
                <c:ptCount val="7"/>
                <c:pt idx="0">
                  <c:v>4.1115173767610501E-2</c:v>
                </c:pt>
                <c:pt idx="1">
                  <c:v>0.13263858170867299</c:v>
                </c:pt>
                <c:pt idx="2">
                  <c:v>0.19248081999984901</c:v>
                </c:pt>
                <c:pt idx="3">
                  <c:v>0.205739095944867</c:v>
                </c:pt>
                <c:pt idx="4">
                  <c:v>0.29985805770101798</c:v>
                </c:pt>
                <c:pt idx="5">
                  <c:v>0.357184152412445</c:v>
                </c:pt>
                <c:pt idx="6">
                  <c:v>0.33617787069404298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9BF-428A-AEE8-F0E7C34C4D9E}"/>
            </c:ext>
          </c:extLst>
        </c:ser>
        <c:ser>
          <c:idx val="5"/>
          <c:order val="5"/>
          <c:tx>
            <c:strRef>
              <c:f>Experiments!$A$16</c:f>
              <c:strCache>
                <c:ptCount val="1"/>
                <c:pt idx="0">
                  <c:v>2 mm 5.7 m/s (Y)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Experiments!$B$13:$H$13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</c:numCache>
            </c:numRef>
          </c:xVal>
          <c:yVal>
            <c:numRef>
              <c:f>Experiments!$B$16:$H$16</c:f>
              <c:numCache>
                <c:formatCode>General</c:formatCode>
                <c:ptCount val="7"/>
                <c:pt idx="0">
                  <c:v>6.4635419333442204E-2</c:v>
                </c:pt>
                <c:pt idx="1">
                  <c:v>0.150844711026663</c:v>
                </c:pt>
                <c:pt idx="2">
                  <c:v>0.23603088346546999</c:v>
                </c:pt>
                <c:pt idx="3">
                  <c:v>0.23636829486257799</c:v>
                </c:pt>
                <c:pt idx="4">
                  <c:v>0.33704363546390997</c:v>
                </c:pt>
                <c:pt idx="5">
                  <c:v>0.49375268186726701</c:v>
                </c:pt>
                <c:pt idx="6">
                  <c:v>0.44458299077229602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9BF-428A-AEE8-F0E7C34C4D9E}"/>
            </c:ext>
          </c:extLst>
        </c:ser>
        <c:ser>
          <c:idx val="6"/>
          <c:order val="6"/>
          <c:tx>
            <c:strRef>
              <c:f>Experiments!$A$18</c:f>
              <c:strCache>
                <c:ptCount val="1"/>
                <c:pt idx="0">
                  <c:v>4.5 mm 3.7 m/s (Y)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Experiments!$B$13:$H$13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</c:numCache>
            </c:numRef>
          </c:xVal>
          <c:yVal>
            <c:numRef>
              <c:f>Experiments!$B$18:$H$18</c:f>
              <c:numCache>
                <c:formatCode>General</c:formatCode>
                <c:ptCount val="7"/>
                <c:pt idx="0">
                  <c:v>5.8138380559564197E-2</c:v>
                </c:pt>
                <c:pt idx="1">
                  <c:v>0.10274998717598099</c:v>
                </c:pt>
                <c:pt idx="2">
                  <c:v>0.120426957986524</c:v>
                </c:pt>
                <c:pt idx="3">
                  <c:v>0.13433815157425599</c:v>
                </c:pt>
                <c:pt idx="4">
                  <c:v>0.17091011087101299</c:v>
                </c:pt>
                <c:pt idx="5">
                  <c:v>0.247481917378856</c:v>
                </c:pt>
                <c:pt idx="6">
                  <c:v>0.2363169673953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9BF-428A-AEE8-F0E7C34C4D9E}"/>
            </c:ext>
          </c:extLst>
        </c:ser>
        <c:ser>
          <c:idx val="7"/>
          <c:order val="7"/>
          <c:tx>
            <c:strRef>
              <c:f>Experiments!$A$19</c:f>
              <c:strCache>
                <c:ptCount val="1"/>
                <c:pt idx="0">
                  <c:v>4.5 mm 5.1 m/s (Y)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Experiments!$B$13:$H$13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</c:numCache>
            </c:numRef>
          </c:xVal>
          <c:yVal>
            <c:numRef>
              <c:f>Experiments!$B$19:$H$19</c:f>
              <c:numCache>
                <c:formatCode>General</c:formatCode>
                <c:ptCount val="7"/>
                <c:pt idx="0">
                  <c:v>8.8284317020610598E-2</c:v>
                </c:pt>
                <c:pt idx="1">
                  <c:v>0.20767441751472199</c:v>
                </c:pt>
                <c:pt idx="2">
                  <c:v>0.23434926114066701</c:v>
                </c:pt>
                <c:pt idx="3">
                  <c:v>0.27638665374613902</c:v>
                </c:pt>
                <c:pt idx="4">
                  <c:v>0.33792356751098501</c:v>
                </c:pt>
                <c:pt idx="5">
                  <c:v>0.42394517289162797</c:v>
                </c:pt>
                <c:pt idx="6">
                  <c:v>0.39659346004184798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9BF-428A-AEE8-F0E7C34C4D9E}"/>
            </c:ext>
          </c:extLst>
        </c:ser>
        <c:ser>
          <c:idx val="8"/>
          <c:order val="8"/>
          <c:tx>
            <c:strRef>
              <c:f>Experiments!$A$20</c:f>
              <c:strCache>
                <c:ptCount val="1"/>
                <c:pt idx="0">
                  <c:v>4.5 mm 6.7 m/s (Y)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Experiments!$B$13:$H$13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</c:numCache>
            </c:numRef>
          </c:xVal>
          <c:yVal>
            <c:numRef>
              <c:f>Experiments!$B$20:$H$20</c:f>
              <c:numCache>
                <c:formatCode>General</c:formatCode>
                <c:ptCount val="7"/>
                <c:pt idx="0">
                  <c:v>0.122810622867322</c:v>
                </c:pt>
                <c:pt idx="1">
                  <c:v>0.27752329342836102</c:v>
                </c:pt>
                <c:pt idx="2">
                  <c:v>0.30648500728078698</c:v>
                </c:pt>
                <c:pt idx="3">
                  <c:v>0.37358329560835501</c:v>
                </c:pt>
                <c:pt idx="4">
                  <c:v>0.46892396537333703</c:v>
                </c:pt>
                <c:pt idx="5">
                  <c:v>0.60057246974412104</c:v>
                </c:pt>
                <c:pt idx="6">
                  <c:v>0.608429733954715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9BF-428A-AEE8-F0E7C34C4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23920"/>
        <c:axId val="495430160"/>
      </c:scatterChart>
      <c:valAx>
        <c:axId val="49542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runoff depth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30160"/>
        <c:crosses val="autoZero"/>
        <c:crossBetween val="midCat"/>
      </c:valAx>
      <c:valAx>
        <c:axId val="49543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 head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3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'yu model'!$A$7</c:f>
              <c:strCache>
                <c:ptCount val="1"/>
                <c:pt idx="0">
                  <c:v>2.9 mm 4.9 m/s (P)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'yu model'!$B$6:$J$6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</c:numCache>
            </c:numRef>
          </c:xVal>
          <c:yVal>
            <c:numRef>
              <c:f>'yu model'!$B$7:$J$7</c:f>
              <c:numCache>
                <c:formatCode>General</c:formatCode>
                <c:ptCount val="9"/>
                <c:pt idx="0">
                  <c:v>7.8880309567021176E-3</c:v>
                </c:pt>
                <c:pt idx="1">
                  <c:v>1.5392937580437501E-2</c:v>
                </c:pt>
                <c:pt idx="2">
                  <c:v>1.4584942084942E-2</c:v>
                </c:pt>
                <c:pt idx="3">
                  <c:v>1.30849823037323E-2</c:v>
                </c:pt>
                <c:pt idx="4">
                  <c:v>1.3604407979407901E-2</c:v>
                </c:pt>
                <c:pt idx="5">
                  <c:v>1.2276383526383501E-2</c:v>
                </c:pt>
                <c:pt idx="6">
                  <c:v>9.5055099742599701E-3</c:v>
                </c:pt>
                <c:pt idx="7">
                  <c:v>8.3518339768339795E-3</c:v>
                </c:pt>
                <c:pt idx="8">
                  <c:v>6.562097812097812E-3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B6-4B74-9140-F6B4D5CBD9DE}"/>
            </c:ext>
          </c:extLst>
        </c:ser>
        <c:ser>
          <c:idx val="1"/>
          <c:order val="1"/>
          <c:tx>
            <c:strRef>
              <c:f>'yu model'!$A$8</c:f>
              <c:strCache>
                <c:ptCount val="1"/>
                <c:pt idx="0">
                  <c:v>4.7 mm 5.11 m/s (P)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'yu model'!$B$6:$J$6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</c:numCache>
            </c:numRef>
          </c:xVal>
          <c:yVal>
            <c:numRef>
              <c:f>'yu model'!$B$8:$J$8</c:f>
              <c:numCache>
                <c:formatCode>General</c:formatCode>
                <c:ptCount val="9"/>
                <c:pt idx="0">
                  <c:v>1.2975779764856544E-2</c:v>
                </c:pt>
                <c:pt idx="1">
                  <c:v>2.9661961068211E-2</c:v>
                </c:pt>
                <c:pt idx="2">
                  <c:v>3.3356258043757997E-2</c:v>
                </c:pt>
                <c:pt idx="3">
                  <c:v>3.2548262548262506E-2</c:v>
                </c:pt>
                <c:pt idx="4">
                  <c:v>3.0584781209781201E-2</c:v>
                </c:pt>
                <c:pt idx="5">
                  <c:v>2.7583655083654998E-2</c:v>
                </c:pt>
                <c:pt idx="6">
                  <c:v>1.9964808558558499E-2</c:v>
                </c:pt>
                <c:pt idx="7">
                  <c:v>1.43647442084942E-2</c:v>
                </c:pt>
                <c:pt idx="8">
                  <c:v>8.8242036679536708E-3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B6-4B74-9140-F6B4D5CBD9DE}"/>
            </c:ext>
          </c:extLst>
        </c:ser>
        <c:ser>
          <c:idx val="2"/>
          <c:order val="2"/>
          <c:tx>
            <c:strRef>
              <c:f>'yu model'!$A$9</c:f>
              <c:strCache>
                <c:ptCount val="1"/>
                <c:pt idx="0">
                  <c:v>5.9 mm 5.18 m/s (P)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'yu model'!$B$6:$J$6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</c:numCache>
            </c:numRef>
          </c:xVal>
          <c:yVal>
            <c:numRef>
              <c:f>'yu model'!$B$9:$J$9</c:f>
              <c:numCache>
                <c:formatCode>General</c:formatCode>
                <c:ptCount val="9"/>
                <c:pt idx="0">
                  <c:v>2.0136501258999736E-2</c:v>
                </c:pt>
                <c:pt idx="1">
                  <c:v>3.4285714285714197E-2</c:v>
                </c:pt>
                <c:pt idx="2">
                  <c:v>4.1731418918918899E-2</c:v>
                </c:pt>
                <c:pt idx="3">
                  <c:v>4.2424589768339703E-2</c:v>
                </c:pt>
                <c:pt idx="4">
                  <c:v>3.9076576576576497E-2</c:v>
                </c:pt>
                <c:pt idx="5">
                  <c:v>3.59011019948519E-2</c:v>
                </c:pt>
                <c:pt idx="6">
                  <c:v>3.07645592020592E-2</c:v>
                </c:pt>
                <c:pt idx="7">
                  <c:v>2.2566763191763099E-2</c:v>
                </c:pt>
                <c:pt idx="8">
                  <c:v>1.2294280888030799E-2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B6-4B74-9140-F6B4D5CBD9DE}"/>
            </c:ext>
          </c:extLst>
        </c:ser>
        <c:ser>
          <c:idx val="3"/>
          <c:order val="3"/>
          <c:tx>
            <c:strRef>
              <c:f>'yu model'!$A$14</c:f>
              <c:strCache>
                <c:ptCount val="1"/>
                <c:pt idx="0">
                  <c:v>2 mm 3.49 m/s (Y)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'yu model'!$B$13:$I$13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</c:numCache>
            </c:numRef>
          </c:xVal>
          <c:yVal>
            <c:numRef>
              <c:f>'yu model'!$B$14:$I$14</c:f>
              <c:numCache>
                <c:formatCode>General</c:formatCode>
                <c:ptCount val="8"/>
                <c:pt idx="0">
                  <c:v>3.4958485999999997E-2</c:v>
                </c:pt>
                <c:pt idx="1">
                  <c:v>8.6410998000000003E-2</c:v>
                </c:pt>
                <c:pt idx="2">
                  <c:v>0.13040837299999999</c:v>
                </c:pt>
                <c:pt idx="3">
                  <c:v>0.150119535</c:v>
                </c:pt>
                <c:pt idx="4">
                  <c:v>0.14790699800000001</c:v>
                </c:pt>
                <c:pt idx="5">
                  <c:v>0.17940034299999999</c:v>
                </c:pt>
                <c:pt idx="6">
                  <c:v>0.17558504699999999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B6-4B74-9140-F6B4D5CBD9DE}"/>
            </c:ext>
          </c:extLst>
        </c:ser>
        <c:ser>
          <c:idx val="4"/>
          <c:order val="4"/>
          <c:tx>
            <c:strRef>
              <c:f>'yu model'!$A$15</c:f>
              <c:strCache>
                <c:ptCount val="1"/>
                <c:pt idx="0">
                  <c:v>2 mm 4.62 m/s (Y)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'yu model'!$B$13:$H$13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</c:numCache>
            </c:numRef>
          </c:xVal>
          <c:yVal>
            <c:numRef>
              <c:f>'yu model'!$B$15:$H$15</c:f>
              <c:numCache>
                <c:formatCode>General</c:formatCode>
                <c:ptCount val="7"/>
                <c:pt idx="0">
                  <c:v>4.8236175999999999E-2</c:v>
                </c:pt>
                <c:pt idx="1">
                  <c:v>0.131711099</c:v>
                </c:pt>
                <c:pt idx="2">
                  <c:v>0.19576185400000001</c:v>
                </c:pt>
                <c:pt idx="3">
                  <c:v>0.210789641</c:v>
                </c:pt>
                <c:pt idx="4">
                  <c:v>0.25874055299999998</c:v>
                </c:pt>
                <c:pt idx="5">
                  <c:v>0.333334572</c:v>
                </c:pt>
                <c:pt idx="6">
                  <c:v>0.318053855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B6-4B74-9140-F6B4D5CBD9DE}"/>
            </c:ext>
          </c:extLst>
        </c:ser>
        <c:ser>
          <c:idx val="5"/>
          <c:order val="5"/>
          <c:tx>
            <c:strRef>
              <c:f>'yu model'!$A$16</c:f>
              <c:strCache>
                <c:ptCount val="1"/>
                <c:pt idx="0">
                  <c:v>2 mm 5.7 m/s (Y)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'yu model'!$B$13:$H$13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</c:numCache>
            </c:numRef>
          </c:xVal>
          <c:yVal>
            <c:numRef>
              <c:f>'yu model'!$B$16:$H$16</c:f>
              <c:numCache>
                <c:formatCode>General</c:formatCode>
                <c:ptCount val="7"/>
                <c:pt idx="0">
                  <c:v>5.5710308E-2</c:v>
                </c:pt>
                <c:pt idx="1">
                  <c:v>0.168393558</c:v>
                </c:pt>
                <c:pt idx="2">
                  <c:v>0.24861196999999999</c:v>
                </c:pt>
                <c:pt idx="3">
                  <c:v>0.24836984300000001</c:v>
                </c:pt>
                <c:pt idx="4">
                  <c:v>0.38792291699999998</c:v>
                </c:pt>
                <c:pt idx="5">
                  <c:v>0.52787069099999995</c:v>
                </c:pt>
                <c:pt idx="6">
                  <c:v>0.4905197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B6-4B74-9140-F6B4D5CBD9DE}"/>
            </c:ext>
          </c:extLst>
        </c:ser>
        <c:ser>
          <c:idx val="6"/>
          <c:order val="6"/>
          <c:tx>
            <c:strRef>
              <c:f>'yu model'!$A$18</c:f>
              <c:strCache>
                <c:ptCount val="1"/>
                <c:pt idx="0">
                  <c:v>4.5 mm 3.7 m/s (Y)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'yu model'!$B$13:$H$13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</c:numCache>
            </c:numRef>
          </c:xVal>
          <c:yVal>
            <c:numRef>
              <c:f>'yu model'!$B$18:$H$18</c:f>
              <c:numCache>
                <c:formatCode>General</c:formatCode>
                <c:ptCount val="7"/>
                <c:pt idx="0">
                  <c:v>0.113907958</c:v>
                </c:pt>
                <c:pt idx="1">
                  <c:v>0.19958224799999999</c:v>
                </c:pt>
                <c:pt idx="2">
                  <c:v>0.218005319</c:v>
                </c:pt>
                <c:pt idx="3">
                  <c:v>0.24432498699999999</c:v>
                </c:pt>
                <c:pt idx="4">
                  <c:v>0.28480411500000002</c:v>
                </c:pt>
                <c:pt idx="5">
                  <c:v>0.358179731</c:v>
                </c:pt>
                <c:pt idx="6">
                  <c:v>0.32300438300000001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2B6-4B74-9140-F6B4D5CBD9DE}"/>
            </c:ext>
          </c:extLst>
        </c:ser>
        <c:ser>
          <c:idx val="7"/>
          <c:order val="7"/>
          <c:tx>
            <c:strRef>
              <c:f>'yu model'!$A$19</c:f>
              <c:strCache>
                <c:ptCount val="1"/>
                <c:pt idx="0">
                  <c:v>4.5 mm 5.1 m/s (Y)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'yu model'!$B$13:$H$13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</c:numCache>
            </c:numRef>
          </c:xVal>
          <c:yVal>
            <c:numRef>
              <c:f>'yu model'!$B$19:$H$19</c:f>
              <c:numCache>
                <c:formatCode>General</c:formatCode>
                <c:ptCount val="7"/>
                <c:pt idx="0">
                  <c:v>0.15014371000000001</c:v>
                </c:pt>
                <c:pt idx="1">
                  <c:v>0.28336861299999999</c:v>
                </c:pt>
                <c:pt idx="2">
                  <c:v>0.31121036699999999</c:v>
                </c:pt>
                <c:pt idx="3">
                  <c:v>0.35430228499999999</c:v>
                </c:pt>
                <c:pt idx="4">
                  <c:v>0.41844489600000001</c:v>
                </c:pt>
                <c:pt idx="5">
                  <c:v>0.52978325199999998</c:v>
                </c:pt>
                <c:pt idx="6">
                  <c:v>0.48157488999999998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2B6-4B74-9140-F6B4D5CBD9DE}"/>
            </c:ext>
          </c:extLst>
        </c:ser>
        <c:ser>
          <c:idx val="8"/>
          <c:order val="8"/>
          <c:tx>
            <c:strRef>
              <c:f>'yu model'!$A$20</c:f>
              <c:strCache>
                <c:ptCount val="1"/>
                <c:pt idx="0">
                  <c:v>4.5 mm 6.7 m/s (Y)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'yu model'!$B$13:$H$13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</c:numCache>
            </c:numRef>
          </c:xVal>
          <c:yVal>
            <c:numRef>
              <c:f>'yu model'!$B$20:$H$20</c:f>
              <c:numCache>
                <c:formatCode>General</c:formatCode>
                <c:ptCount val="7"/>
                <c:pt idx="0">
                  <c:v>0.16636261199999999</c:v>
                </c:pt>
                <c:pt idx="1">
                  <c:v>0.34068137199999998</c:v>
                </c:pt>
                <c:pt idx="2">
                  <c:v>0.376534058</c:v>
                </c:pt>
                <c:pt idx="3">
                  <c:v>0.43842262199999998</c:v>
                </c:pt>
                <c:pt idx="4">
                  <c:v>0.53300918799999997</c:v>
                </c:pt>
                <c:pt idx="5">
                  <c:v>0.685691944</c:v>
                </c:pt>
                <c:pt idx="6">
                  <c:v>0.63610873999999995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2B6-4B74-9140-F6B4D5CBD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23920"/>
        <c:axId val="495430160"/>
      </c:scatterChart>
      <c:valAx>
        <c:axId val="49542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runoff depth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30160"/>
        <c:crosses val="autoZero"/>
        <c:crossBetween val="midCat"/>
      </c:valAx>
      <c:valAx>
        <c:axId val="49543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 head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3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190500</xdr:colOff>
      <xdr:row>1</xdr:row>
      <xdr:rowOff>128587</xdr:rowOff>
    </xdr:from>
    <xdr:to>
      <xdr:col>32</xdr:col>
      <xdr:colOff>409575</xdr:colOff>
      <xdr:row>31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BF882C-222A-2AE1-3F94-E112977B5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190500</xdr:colOff>
      <xdr:row>1</xdr:row>
      <xdr:rowOff>128587</xdr:rowOff>
    </xdr:from>
    <xdr:to>
      <xdr:col>32</xdr:col>
      <xdr:colOff>409575</xdr:colOff>
      <xdr:row>31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CD65B3-512C-46EE-8B63-90F3E8C4A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F711C-F31E-4CB8-844E-21D3DDD606B2}">
  <dimension ref="A4:L20"/>
  <sheetViews>
    <sheetView tabSelected="1" workbookViewId="0">
      <selection activeCell="C27" sqref="C27"/>
    </sheetView>
  </sheetViews>
  <sheetFormatPr baseColWidth="10" defaultColWidth="8.83203125" defaultRowHeight="15" x14ac:dyDescent="0.2"/>
  <cols>
    <col min="1" max="1" width="30.5" customWidth="1"/>
  </cols>
  <sheetData>
    <row r="4" spans="1:12" x14ac:dyDescent="0.2">
      <c r="A4" s="1" t="s">
        <v>20</v>
      </c>
    </row>
    <row r="5" spans="1:12" x14ac:dyDescent="0.2">
      <c r="B5" t="s">
        <v>0</v>
      </c>
    </row>
    <row r="6" spans="1:12" x14ac:dyDescent="0.2">
      <c r="A6" t="s">
        <v>1</v>
      </c>
      <c r="B6">
        <v>0</v>
      </c>
      <c r="C6">
        <v>2</v>
      </c>
      <c r="D6">
        <v>4</v>
      </c>
      <c r="E6">
        <v>6</v>
      </c>
      <c r="F6">
        <v>8</v>
      </c>
      <c r="G6">
        <v>10</v>
      </c>
      <c r="H6">
        <v>15</v>
      </c>
      <c r="I6">
        <v>20</v>
      </c>
      <c r="J6">
        <v>30</v>
      </c>
    </row>
    <row r="7" spans="1:12" x14ac:dyDescent="0.2">
      <c r="A7" t="s">
        <v>10</v>
      </c>
      <c r="B7">
        <v>7.8880309567021176E-3</v>
      </c>
      <c r="C7">
        <v>1.5392937580437501E-2</v>
      </c>
      <c r="D7">
        <v>1.4584942084942E-2</v>
      </c>
      <c r="E7">
        <v>1.30849823037323E-2</v>
      </c>
      <c r="F7">
        <v>1.3604407979407901E-2</v>
      </c>
      <c r="G7">
        <v>1.2276383526383501E-2</v>
      </c>
      <c r="H7">
        <v>9.5055099742599701E-3</v>
      </c>
      <c r="I7">
        <v>8.3518339768339795E-3</v>
      </c>
      <c r="J7">
        <v>6.562097812097812E-3</v>
      </c>
      <c r="L7" t="s">
        <v>2</v>
      </c>
    </row>
    <row r="8" spans="1:12" x14ac:dyDescent="0.2">
      <c r="A8" t="s">
        <v>11</v>
      </c>
      <c r="B8">
        <v>1.2975779764856544E-2</v>
      </c>
      <c r="C8">
        <v>2.9661961068211E-2</v>
      </c>
      <c r="D8">
        <v>3.3356258043757997E-2</v>
      </c>
      <c r="E8">
        <v>3.2548262548262506E-2</v>
      </c>
      <c r="F8">
        <v>3.0584781209781201E-2</v>
      </c>
      <c r="G8">
        <v>2.7583655083654998E-2</v>
      </c>
      <c r="H8">
        <v>1.9964808558558499E-2</v>
      </c>
      <c r="I8">
        <v>1.43647442084942E-2</v>
      </c>
      <c r="J8">
        <v>8.8242036679536708E-3</v>
      </c>
      <c r="L8" t="s">
        <v>3</v>
      </c>
    </row>
    <row r="9" spans="1:12" x14ac:dyDescent="0.2">
      <c r="A9" t="s">
        <v>12</v>
      </c>
      <c r="B9">
        <v>2.0136501258999736E-2</v>
      </c>
      <c r="C9">
        <v>3.4285714285714197E-2</v>
      </c>
      <c r="D9">
        <v>4.1731418918918899E-2</v>
      </c>
      <c r="E9">
        <v>4.2424589768339703E-2</v>
      </c>
      <c r="F9">
        <v>3.9076576576576497E-2</v>
      </c>
      <c r="G9">
        <v>3.59011019948519E-2</v>
      </c>
      <c r="H9">
        <v>3.07645592020592E-2</v>
      </c>
      <c r="I9">
        <v>2.2566763191763099E-2</v>
      </c>
      <c r="J9">
        <v>1.2294280888030799E-2</v>
      </c>
      <c r="L9" t="s">
        <v>4</v>
      </c>
    </row>
    <row r="11" spans="1:12" x14ac:dyDescent="0.2">
      <c r="A11" s="1" t="s">
        <v>19</v>
      </c>
    </row>
    <row r="13" spans="1:12" x14ac:dyDescent="0.2">
      <c r="A13" t="s">
        <v>7</v>
      </c>
      <c r="B13">
        <v>0</v>
      </c>
      <c r="C13">
        <v>1</v>
      </c>
      <c r="D13">
        <v>2</v>
      </c>
      <c r="E13">
        <v>4</v>
      </c>
      <c r="F13">
        <v>6</v>
      </c>
      <c r="G13">
        <v>8</v>
      </c>
      <c r="H13">
        <v>10</v>
      </c>
    </row>
    <row r="14" spans="1:12" x14ac:dyDescent="0.2">
      <c r="A14" t="s">
        <v>18</v>
      </c>
      <c r="B14">
        <v>3.31523175367981E-2</v>
      </c>
      <c r="C14">
        <v>8.7015256051945794E-2</v>
      </c>
      <c r="D14">
        <v>0.119082323584047</v>
      </c>
      <c r="E14">
        <v>0.141007803605181</v>
      </c>
      <c r="F14">
        <v>0.13239069514508001</v>
      </c>
      <c r="G14">
        <v>0.145077147694509</v>
      </c>
      <c r="H14">
        <v>0.18089810510731599</v>
      </c>
      <c r="L14" t="s">
        <v>8</v>
      </c>
    </row>
    <row r="15" spans="1:12" x14ac:dyDescent="0.2">
      <c r="A15" t="s">
        <v>13</v>
      </c>
      <c r="B15">
        <v>4.1115173767610501E-2</v>
      </c>
      <c r="C15">
        <v>0.13263858170867299</v>
      </c>
      <c r="D15">
        <v>0.19248081999984901</v>
      </c>
      <c r="E15">
        <v>0.205739095944867</v>
      </c>
      <c r="F15">
        <v>0.29985805770101798</v>
      </c>
      <c r="G15">
        <v>0.357184152412445</v>
      </c>
      <c r="H15">
        <v>0.33617787069404298</v>
      </c>
      <c r="L15" t="s">
        <v>9</v>
      </c>
    </row>
    <row r="16" spans="1:12" x14ac:dyDescent="0.2">
      <c r="A16" t="s">
        <v>14</v>
      </c>
      <c r="B16">
        <v>6.4635419333442204E-2</v>
      </c>
      <c r="C16">
        <v>0.150844711026663</v>
      </c>
      <c r="D16">
        <v>0.23603088346546999</v>
      </c>
      <c r="E16">
        <v>0.23636829486257799</v>
      </c>
      <c r="F16">
        <v>0.33704363546390997</v>
      </c>
      <c r="G16">
        <v>0.49375268186726701</v>
      </c>
      <c r="H16">
        <v>0.44458299077229602</v>
      </c>
    </row>
    <row r="18" spans="1:8" x14ac:dyDescent="0.2">
      <c r="A18" t="s">
        <v>15</v>
      </c>
      <c r="B18">
        <v>5.8138380559564197E-2</v>
      </c>
      <c r="C18">
        <v>0.10274998717598099</v>
      </c>
      <c r="D18">
        <v>0.120426957986524</v>
      </c>
      <c r="E18">
        <v>0.13433815157425599</v>
      </c>
      <c r="F18">
        <v>0.17091011087101299</v>
      </c>
      <c r="G18">
        <v>0.247481917378856</v>
      </c>
      <c r="H18">
        <v>0.2363169673953</v>
      </c>
    </row>
    <row r="19" spans="1:8" x14ac:dyDescent="0.2">
      <c r="A19" t="s">
        <v>16</v>
      </c>
      <c r="B19">
        <v>8.8284317020610598E-2</v>
      </c>
      <c r="C19">
        <v>0.20767441751472199</v>
      </c>
      <c r="D19">
        <v>0.23434926114066701</v>
      </c>
      <c r="E19">
        <v>0.27638665374613902</v>
      </c>
      <c r="F19">
        <v>0.33792356751098501</v>
      </c>
      <c r="G19">
        <v>0.42394517289162797</v>
      </c>
      <c r="H19">
        <v>0.39659346004184798</v>
      </c>
    </row>
    <row r="20" spans="1:8" x14ac:dyDescent="0.2">
      <c r="A20" t="s">
        <v>17</v>
      </c>
      <c r="B20">
        <v>0.122810622867322</v>
      </c>
      <c r="C20">
        <v>0.27752329342836102</v>
      </c>
      <c r="D20">
        <v>0.30648500728078698</v>
      </c>
      <c r="E20">
        <v>0.37358329560835501</v>
      </c>
      <c r="F20">
        <v>0.46892396537333703</v>
      </c>
      <c r="G20">
        <v>0.60057246974412104</v>
      </c>
      <c r="H20">
        <v>0.608429733954715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47E8-A435-2E4C-A6BE-A601A9554D09}">
  <dimension ref="A1:Q49"/>
  <sheetViews>
    <sheetView workbookViewId="0">
      <selection activeCell="H19" sqref="H19:J24"/>
    </sheetView>
  </sheetViews>
  <sheetFormatPr baseColWidth="10" defaultRowHeight="15" x14ac:dyDescent="0.2"/>
  <cols>
    <col min="8" max="8" width="15" bestFit="1" customWidth="1"/>
    <col min="9" max="9" width="15.6640625" bestFit="1" customWidth="1"/>
  </cols>
  <sheetData>
    <row r="1" spans="1:17" x14ac:dyDescent="0.2">
      <c r="A1" s="3" t="s">
        <v>24</v>
      </c>
    </row>
    <row r="2" spans="1:17" x14ac:dyDescent="0.2">
      <c r="A2" s="2" t="s">
        <v>20</v>
      </c>
      <c r="H2" t="s">
        <v>5</v>
      </c>
    </row>
    <row r="3" spans="1:17" x14ac:dyDescent="0.2">
      <c r="C3" t="s">
        <v>1</v>
      </c>
      <c r="H3" t="s">
        <v>25</v>
      </c>
      <c r="I3" t="s">
        <v>26</v>
      </c>
      <c r="J3" t="s">
        <v>27</v>
      </c>
    </row>
    <row r="4" spans="1:17" x14ac:dyDescent="0.2">
      <c r="A4" t="s">
        <v>22</v>
      </c>
      <c r="B4" t="s">
        <v>0</v>
      </c>
      <c r="C4">
        <v>2.9</v>
      </c>
      <c r="D4">
        <v>4.7</v>
      </c>
      <c r="E4">
        <v>5.9</v>
      </c>
      <c r="H4" t="s">
        <v>30</v>
      </c>
      <c r="I4" t="s">
        <v>31</v>
      </c>
      <c r="J4" t="s">
        <v>35</v>
      </c>
      <c r="L4" t="s">
        <v>30</v>
      </c>
      <c r="M4" t="s">
        <v>31</v>
      </c>
      <c r="N4" t="s">
        <v>32</v>
      </c>
    </row>
    <row r="5" spans="1:17" x14ac:dyDescent="0.2">
      <c r="A5">
        <v>5</v>
      </c>
      <c r="B5">
        <v>0</v>
      </c>
      <c r="C5">
        <v>7.8880309567021176E-3</v>
      </c>
      <c r="D5">
        <v>1.2975779764856544E-2</v>
      </c>
      <c r="E5">
        <v>2.0136501258999736E-2</v>
      </c>
      <c r="H5">
        <v>0</v>
      </c>
      <c r="I5">
        <v>2.9</v>
      </c>
      <c r="J5">
        <v>7.8880309567021176E-3</v>
      </c>
      <c r="P5">
        <f>H5</f>
        <v>0</v>
      </c>
      <c r="Q5">
        <f>J5*100</f>
        <v>0.78880309567021178</v>
      </c>
    </row>
    <row r="6" spans="1:17" x14ac:dyDescent="0.2">
      <c r="B6">
        <v>2</v>
      </c>
      <c r="C6">
        <v>1.5392937580437501E-2</v>
      </c>
      <c r="D6">
        <v>2.9661961068211E-2</v>
      </c>
      <c r="E6">
        <v>3.4285714285714197E-2</v>
      </c>
      <c r="H6">
        <v>2</v>
      </c>
      <c r="I6">
        <v>2.9</v>
      </c>
      <c r="J6">
        <v>1.5392937580437501E-2</v>
      </c>
      <c r="P6">
        <f t="shared" ref="P6:P25" si="0">H6</f>
        <v>2</v>
      </c>
      <c r="Q6">
        <f t="shared" ref="Q6:Q25" si="1">J6*100</f>
        <v>1.53929375804375</v>
      </c>
    </row>
    <row r="7" spans="1:17" x14ac:dyDescent="0.2">
      <c r="B7">
        <v>4</v>
      </c>
      <c r="C7">
        <v>1.4584942084942E-2</v>
      </c>
      <c r="D7">
        <v>3.3356258043757997E-2</v>
      </c>
      <c r="E7">
        <v>4.1731418918918899E-2</v>
      </c>
      <c r="H7">
        <v>4</v>
      </c>
      <c r="I7">
        <v>2.9</v>
      </c>
      <c r="J7">
        <v>1.4584942084942E-2</v>
      </c>
      <c r="L7" t="s">
        <v>30</v>
      </c>
      <c r="M7" t="s">
        <v>33</v>
      </c>
      <c r="N7" t="s">
        <v>32</v>
      </c>
      <c r="P7">
        <f t="shared" si="0"/>
        <v>4</v>
      </c>
      <c r="Q7">
        <f t="shared" si="1"/>
        <v>1.4584942084941999</v>
      </c>
    </row>
    <row r="8" spans="1:17" x14ac:dyDescent="0.2">
      <c r="B8">
        <v>6</v>
      </c>
      <c r="C8">
        <v>1.30849823037323E-2</v>
      </c>
      <c r="D8">
        <v>3.2548262548262506E-2</v>
      </c>
      <c r="E8">
        <v>4.2424589768339703E-2</v>
      </c>
      <c r="H8">
        <v>6</v>
      </c>
      <c r="I8">
        <v>2.9</v>
      </c>
      <c r="J8">
        <v>1.30849823037323E-2</v>
      </c>
      <c r="P8">
        <f t="shared" si="0"/>
        <v>6</v>
      </c>
      <c r="Q8">
        <f t="shared" si="1"/>
        <v>1.30849823037323</v>
      </c>
    </row>
    <row r="9" spans="1:17" x14ac:dyDescent="0.2">
      <c r="B9">
        <v>8</v>
      </c>
      <c r="C9">
        <v>1.3604407979407901E-2</v>
      </c>
      <c r="D9">
        <v>3.0584781209781201E-2</v>
      </c>
      <c r="E9">
        <v>3.9076576576576497E-2</v>
      </c>
      <c r="H9">
        <v>8</v>
      </c>
      <c r="I9">
        <v>2.9</v>
      </c>
      <c r="J9">
        <v>1.3604407979407901E-2</v>
      </c>
      <c r="P9">
        <f t="shared" si="0"/>
        <v>8</v>
      </c>
      <c r="Q9">
        <f t="shared" si="1"/>
        <v>1.36044079794079</v>
      </c>
    </row>
    <row r="10" spans="1:17" x14ac:dyDescent="0.2">
      <c r="B10">
        <v>10</v>
      </c>
      <c r="C10">
        <v>1.2276383526383501E-2</v>
      </c>
      <c r="D10">
        <v>2.7583655083654998E-2</v>
      </c>
      <c r="E10">
        <v>3.59011019948519E-2</v>
      </c>
      <c r="H10">
        <v>10</v>
      </c>
      <c r="I10">
        <v>2.9</v>
      </c>
      <c r="J10">
        <v>1.2276383526383501E-2</v>
      </c>
      <c r="P10">
        <f t="shared" si="0"/>
        <v>10</v>
      </c>
      <c r="Q10">
        <f t="shared" si="1"/>
        <v>1.2276383526383501</v>
      </c>
    </row>
    <row r="11" spans="1:17" x14ac:dyDescent="0.2">
      <c r="B11">
        <v>15</v>
      </c>
      <c r="C11">
        <v>9.5055099742599701E-3</v>
      </c>
      <c r="D11">
        <v>1.9964808558558499E-2</v>
      </c>
      <c r="E11">
        <v>3.07645592020592E-2</v>
      </c>
      <c r="H11">
        <v>15</v>
      </c>
      <c r="I11">
        <v>2.9</v>
      </c>
      <c r="J11">
        <v>9.5055099742599701E-3</v>
      </c>
      <c r="P11">
        <f t="shared" si="0"/>
        <v>15</v>
      </c>
      <c r="Q11">
        <f t="shared" si="1"/>
        <v>0.95055099742599702</v>
      </c>
    </row>
    <row r="12" spans="1:17" x14ac:dyDescent="0.2">
      <c r="A12" s="2" t="s">
        <v>19</v>
      </c>
      <c r="H12">
        <v>0</v>
      </c>
      <c r="I12">
        <v>4.7</v>
      </c>
      <c r="J12">
        <v>1.2975779764856544E-2</v>
      </c>
      <c r="P12">
        <f t="shared" si="0"/>
        <v>0</v>
      </c>
      <c r="Q12">
        <f t="shared" si="1"/>
        <v>1.2975779764856543</v>
      </c>
    </row>
    <row r="13" spans="1:17" x14ac:dyDescent="0.2">
      <c r="C13" t="s">
        <v>22</v>
      </c>
      <c r="H13">
        <v>2</v>
      </c>
      <c r="I13">
        <v>4.7</v>
      </c>
      <c r="J13">
        <v>2.9661961068211E-2</v>
      </c>
      <c r="P13">
        <f t="shared" si="0"/>
        <v>2</v>
      </c>
      <c r="Q13">
        <f t="shared" si="1"/>
        <v>2.9661961068211</v>
      </c>
    </row>
    <row r="14" spans="1:17" x14ac:dyDescent="0.2">
      <c r="A14" t="s">
        <v>7</v>
      </c>
      <c r="B14" t="s">
        <v>0</v>
      </c>
      <c r="C14">
        <v>3.49</v>
      </c>
      <c r="D14">
        <v>4.62</v>
      </c>
      <c r="E14">
        <v>5.7</v>
      </c>
      <c r="H14">
        <v>4</v>
      </c>
      <c r="I14">
        <v>4.7</v>
      </c>
      <c r="J14">
        <v>3.3356258043757997E-2</v>
      </c>
      <c r="P14">
        <f t="shared" si="0"/>
        <v>4</v>
      </c>
      <c r="Q14">
        <f t="shared" si="1"/>
        <v>3.3356258043757996</v>
      </c>
    </row>
    <row r="15" spans="1:17" x14ac:dyDescent="0.2">
      <c r="A15" t="s">
        <v>23</v>
      </c>
      <c r="B15">
        <v>0</v>
      </c>
      <c r="C15">
        <v>3.31523175367981E-2</v>
      </c>
      <c r="D15">
        <v>4.1115173767610501E-2</v>
      </c>
      <c r="E15">
        <v>6.4635419333442204E-2</v>
      </c>
      <c r="H15">
        <v>6</v>
      </c>
      <c r="I15">
        <v>4.7</v>
      </c>
      <c r="J15">
        <v>3.2548262548262506E-2</v>
      </c>
      <c r="P15">
        <f t="shared" si="0"/>
        <v>6</v>
      </c>
      <c r="Q15">
        <f t="shared" si="1"/>
        <v>3.2548262548262508</v>
      </c>
    </row>
    <row r="16" spans="1:17" x14ac:dyDescent="0.2">
      <c r="B16">
        <v>1</v>
      </c>
      <c r="C16">
        <v>8.7015256051945794E-2</v>
      </c>
      <c r="D16">
        <v>0.13263858170867299</v>
      </c>
      <c r="E16">
        <v>0.150844711026663</v>
      </c>
      <c r="H16">
        <v>8</v>
      </c>
      <c r="I16">
        <v>4.7</v>
      </c>
      <c r="J16">
        <v>3.0584781209781201E-2</v>
      </c>
      <c r="P16">
        <f t="shared" si="0"/>
        <v>8</v>
      </c>
      <c r="Q16">
        <f t="shared" si="1"/>
        <v>3.05847812097812</v>
      </c>
    </row>
    <row r="17" spans="1:17" x14ac:dyDescent="0.2">
      <c r="B17">
        <v>2</v>
      </c>
      <c r="C17">
        <v>0.119082323584047</v>
      </c>
      <c r="D17">
        <v>0.19248081999984901</v>
      </c>
      <c r="E17">
        <v>0.23603088346546999</v>
      </c>
      <c r="H17">
        <v>10</v>
      </c>
      <c r="I17">
        <v>4.7</v>
      </c>
      <c r="J17">
        <v>2.7583655083654998E-2</v>
      </c>
      <c r="P17">
        <f t="shared" si="0"/>
        <v>10</v>
      </c>
      <c r="Q17">
        <f t="shared" si="1"/>
        <v>2.7583655083654999</v>
      </c>
    </row>
    <row r="18" spans="1:17" x14ac:dyDescent="0.2">
      <c r="B18">
        <v>4</v>
      </c>
      <c r="C18">
        <v>0.141007803605181</v>
      </c>
      <c r="D18">
        <v>0.205739095944867</v>
      </c>
      <c r="E18">
        <v>0.23636829486257799</v>
      </c>
      <c r="H18">
        <v>15</v>
      </c>
      <c r="I18">
        <v>4.7</v>
      </c>
      <c r="J18">
        <v>1.9964808558558499E-2</v>
      </c>
      <c r="P18">
        <f t="shared" si="0"/>
        <v>15</v>
      </c>
      <c r="Q18">
        <f t="shared" si="1"/>
        <v>1.9964808558558498</v>
      </c>
    </row>
    <row r="19" spans="1:17" x14ac:dyDescent="0.2">
      <c r="B19">
        <v>6</v>
      </c>
      <c r="C19">
        <v>0.13239069514508001</v>
      </c>
      <c r="D19">
        <v>0.29985805770101798</v>
      </c>
      <c r="E19">
        <v>0.33704363546390997</v>
      </c>
      <c r="H19">
        <v>0</v>
      </c>
      <c r="I19">
        <v>5.9</v>
      </c>
      <c r="J19">
        <v>2.0136501258999736E-2</v>
      </c>
      <c r="P19">
        <f t="shared" si="0"/>
        <v>0</v>
      </c>
      <c r="Q19">
        <f t="shared" si="1"/>
        <v>2.0136501258999737</v>
      </c>
    </row>
    <row r="20" spans="1:17" x14ac:dyDescent="0.2">
      <c r="B20">
        <v>8</v>
      </c>
      <c r="C20">
        <v>0.145077147694509</v>
      </c>
      <c r="D20">
        <v>0.357184152412445</v>
      </c>
      <c r="E20">
        <v>0.49375268186726701</v>
      </c>
      <c r="H20">
        <v>2</v>
      </c>
      <c r="I20">
        <v>5.9</v>
      </c>
      <c r="J20">
        <v>3.4285714285714197E-2</v>
      </c>
      <c r="P20">
        <f t="shared" si="0"/>
        <v>2</v>
      </c>
      <c r="Q20">
        <f t="shared" si="1"/>
        <v>3.4285714285714199</v>
      </c>
    </row>
    <row r="21" spans="1:17" x14ac:dyDescent="0.2">
      <c r="B21">
        <v>10</v>
      </c>
      <c r="C21">
        <v>0.18089810510731599</v>
      </c>
      <c r="D21">
        <v>0.33617787069404298</v>
      </c>
      <c r="E21">
        <v>0.44458299077229602</v>
      </c>
      <c r="H21">
        <v>4</v>
      </c>
      <c r="I21">
        <v>5.9</v>
      </c>
      <c r="J21">
        <v>4.1731418918918899E-2</v>
      </c>
      <c r="P21">
        <f t="shared" si="0"/>
        <v>4</v>
      </c>
      <c r="Q21">
        <f t="shared" si="1"/>
        <v>4.1731418918918894</v>
      </c>
    </row>
    <row r="22" spans="1:17" x14ac:dyDescent="0.2">
      <c r="H22">
        <v>6</v>
      </c>
      <c r="I22">
        <v>5.9</v>
      </c>
      <c r="J22">
        <v>4.2424589768339703E-2</v>
      </c>
      <c r="P22">
        <f t="shared" si="0"/>
        <v>6</v>
      </c>
      <c r="Q22">
        <f t="shared" si="1"/>
        <v>4.2424589768339702</v>
      </c>
    </row>
    <row r="23" spans="1:17" x14ac:dyDescent="0.2">
      <c r="A23" t="s">
        <v>21</v>
      </c>
      <c r="C23">
        <v>3.7</v>
      </c>
      <c r="D23">
        <v>5.0999999999999996</v>
      </c>
      <c r="E23">
        <v>6.7</v>
      </c>
      <c r="H23">
        <v>8</v>
      </c>
      <c r="I23">
        <v>5.9</v>
      </c>
      <c r="J23">
        <v>3.9076576576576497E-2</v>
      </c>
      <c r="P23">
        <f t="shared" si="0"/>
        <v>8</v>
      </c>
      <c r="Q23">
        <f t="shared" si="1"/>
        <v>3.9076576576576496</v>
      </c>
    </row>
    <row r="24" spans="1:17" x14ac:dyDescent="0.2">
      <c r="B24">
        <v>0</v>
      </c>
      <c r="C24">
        <v>5.8138380559564197E-2</v>
      </c>
      <c r="D24">
        <v>8.8284317020610598E-2</v>
      </c>
      <c r="E24">
        <v>0.122810622867322</v>
      </c>
      <c r="H24">
        <v>10</v>
      </c>
      <c r="I24">
        <v>5.9</v>
      </c>
      <c r="J24">
        <v>3.59011019948519E-2</v>
      </c>
      <c r="P24">
        <f t="shared" si="0"/>
        <v>10</v>
      </c>
      <c r="Q24">
        <f t="shared" si="1"/>
        <v>3.5901101994851898</v>
      </c>
    </row>
    <row r="25" spans="1:17" x14ac:dyDescent="0.2">
      <c r="B25">
        <v>1</v>
      </c>
      <c r="C25">
        <v>0.10274998717598099</v>
      </c>
      <c r="D25">
        <v>0.20767441751472199</v>
      </c>
      <c r="E25">
        <v>0.27752329342836102</v>
      </c>
      <c r="H25">
        <v>15</v>
      </c>
      <c r="I25">
        <v>5.9</v>
      </c>
      <c r="J25">
        <v>3.07645592020592E-2</v>
      </c>
      <c r="P25">
        <f t="shared" si="0"/>
        <v>15</v>
      </c>
      <c r="Q25">
        <f t="shared" si="1"/>
        <v>3.0764559202059201</v>
      </c>
    </row>
    <row r="26" spans="1:17" x14ac:dyDescent="0.2">
      <c r="B26">
        <v>2</v>
      </c>
      <c r="C26">
        <v>0.120426957986524</v>
      </c>
      <c r="D26">
        <v>0.23434926114066701</v>
      </c>
      <c r="E26">
        <v>0.30648500728078698</v>
      </c>
    </row>
    <row r="27" spans="1:17" x14ac:dyDescent="0.2">
      <c r="B27">
        <v>4</v>
      </c>
      <c r="C27">
        <v>0.13433815157425599</v>
      </c>
      <c r="D27">
        <v>0.27638665374613902</v>
      </c>
      <c r="E27">
        <v>0.37358329560835501</v>
      </c>
      <c r="H27" t="s">
        <v>28</v>
      </c>
      <c r="L27" t="s">
        <v>29</v>
      </c>
    </row>
    <row r="28" spans="1:17" x14ac:dyDescent="0.2">
      <c r="B28">
        <v>6</v>
      </c>
      <c r="C28">
        <v>0.17091011087101299</v>
      </c>
      <c r="D28">
        <v>0.33792356751098501</v>
      </c>
      <c r="E28">
        <v>0.46892396537333703</v>
      </c>
      <c r="H28" t="s">
        <v>0</v>
      </c>
      <c r="I28" t="s">
        <v>22</v>
      </c>
      <c r="J28" s="3" t="s">
        <v>34</v>
      </c>
      <c r="L28" t="s">
        <v>0</v>
      </c>
      <c r="M28" t="s">
        <v>22</v>
      </c>
      <c r="N28" s="3" t="s">
        <v>34</v>
      </c>
    </row>
    <row r="29" spans="1:17" x14ac:dyDescent="0.2">
      <c r="B29">
        <v>8</v>
      </c>
      <c r="C29">
        <v>0.247481917378856</v>
      </c>
      <c r="D29">
        <v>0.42394517289162797</v>
      </c>
      <c r="E29">
        <v>0.60057246974412104</v>
      </c>
      <c r="H29">
        <v>0</v>
      </c>
      <c r="I29">
        <v>3.49</v>
      </c>
      <c r="J29">
        <v>3.31523175367981E-2</v>
      </c>
      <c r="L29">
        <v>0</v>
      </c>
      <c r="M29">
        <v>3.7</v>
      </c>
      <c r="N29">
        <v>5.8138380559564197E-2</v>
      </c>
    </row>
    <row r="30" spans="1:17" x14ac:dyDescent="0.2">
      <c r="B30">
        <v>10</v>
      </c>
      <c r="C30">
        <v>0.2363169673953</v>
      </c>
      <c r="D30">
        <v>0.39659346004184798</v>
      </c>
      <c r="E30">
        <v>0.608429733954715</v>
      </c>
      <c r="H30">
        <v>1</v>
      </c>
      <c r="I30">
        <v>3.49</v>
      </c>
      <c r="J30">
        <v>8.7015256051945794E-2</v>
      </c>
      <c r="L30">
        <v>1</v>
      </c>
      <c r="M30">
        <v>3.7</v>
      </c>
      <c r="N30">
        <v>0.10274998717598099</v>
      </c>
    </row>
    <row r="31" spans="1:17" x14ac:dyDescent="0.2">
      <c r="H31">
        <v>2</v>
      </c>
      <c r="I31">
        <v>3.49</v>
      </c>
      <c r="J31">
        <v>0.119082323584047</v>
      </c>
      <c r="L31">
        <v>2</v>
      </c>
      <c r="M31">
        <v>3.7</v>
      </c>
      <c r="N31">
        <v>0.120426957986524</v>
      </c>
    </row>
    <row r="32" spans="1:17" x14ac:dyDescent="0.2">
      <c r="H32">
        <v>4</v>
      </c>
      <c r="I32">
        <v>3.49</v>
      </c>
      <c r="J32">
        <v>0.141007803605181</v>
      </c>
      <c r="L32">
        <v>4</v>
      </c>
      <c r="M32">
        <v>3.7</v>
      </c>
      <c r="N32">
        <v>0.13433815157425599</v>
      </c>
    </row>
    <row r="33" spans="8:14" x14ac:dyDescent="0.2">
      <c r="H33">
        <v>6</v>
      </c>
      <c r="I33">
        <v>3.49</v>
      </c>
      <c r="J33">
        <v>0.13239069514508001</v>
      </c>
      <c r="L33">
        <v>6</v>
      </c>
      <c r="M33">
        <v>3.7</v>
      </c>
      <c r="N33">
        <v>0.17091011087101299</v>
      </c>
    </row>
    <row r="34" spans="8:14" x14ac:dyDescent="0.2">
      <c r="H34">
        <v>8</v>
      </c>
      <c r="I34">
        <v>3.49</v>
      </c>
      <c r="J34">
        <v>0.145077147694509</v>
      </c>
      <c r="L34">
        <v>8</v>
      </c>
      <c r="M34">
        <v>3.7</v>
      </c>
      <c r="N34">
        <v>0.247481917378856</v>
      </c>
    </row>
    <row r="35" spans="8:14" x14ac:dyDescent="0.2">
      <c r="H35">
        <v>10</v>
      </c>
      <c r="I35">
        <v>3.49</v>
      </c>
      <c r="J35">
        <v>0.18089810510731599</v>
      </c>
      <c r="L35">
        <v>10</v>
      </c>
      <c r="M35">
        <v>3.7</v>
      </c>
      <c r="N35">
        <v>0.2363169673953</v>
      </c>
    </row>
    <row r="36" spans="8:14" x14ac:dyDescent="0.2">
      <c r="H36">
        <v>0</v>
      </c>
      <c r="I36">
        <v>4.62</v>
      </c>
      <c r="J36">
        <v>4.1115173767610501E-2</v>
      </c>
      <c r="L36">
        <v>0</v>
      </c>
      <c r="M36">
        <v>5.0999999999999996</v>
      </c>
      <c r="N36">
        <v>8.8284317020610598E-2</v>
      </c>
    </row>
    <row r="37" spans="8:14" x14ac:dyDescent="0.2">
      <c r="H37">
        <v>1</v>
      </c>
      <c r="I37">
        <v>4.62</v>
      </c>
      <c r="J37">
        <v>0.13263858170867299</v>
      </c>
      <c r="L37">
        <v>1</v>
      </c>
      <c r="M37">
        <v>5.0999999999999996</v>
      </c>
      <c r="N37">
        <v>0.20767441751472199</v>
      </c>
    </row>
    <row r="38" spans="8:14" x14ac:dyDescent="0.2">
      <c r="H38">
        <v>2</v>
      </c>
      <c r="I38">
        <v>4.62</v>
      </c>
      <c r="J38">
        <v>0.19248081999984901</v>
      </c>
      <c r="L38">
        <v>2</v>
      </c>
      <c r="M38">
        <v>5.0999999999999996</v>
      </c>
      <c r="N38">
        <v>0.23434926114066701</v>
      </c>
    </row>
    <row r="39" spans="8:14" x14ac:dyDescent="0.2">
      <c r="H39">
        <v>4</v>
      </c>
      <c r="I39">
        <v>4.62</v>
      </c>
      <c r="J39">
        <v>0.205739095944867</v>
      </c>
      <c r="L39">
        <v>4</v>
      </c>
      <c r="M39">
        <v>5.0999999999999996</v>
      </c>
      <c r="N39">
        <v>0.27638665374613902</v>
      </c>
    </row>
    <row r="40" spans="8:14" x14ac:dyDescent="0.2">
      <c r="H40">
        <v>6</v>
      </c>
      <c r="I40">
        <v>4.62</v>
      </c>
      <c r="J40">
        <v>0.29985805770101798</v>
      </c>
      <c r="L40">
        <v>6</v>
      </c>
      <c r="M40">
        <v>5.0999999999999996</v>
      </c>
      <c r="N40">
        <v>0.33792356751098501</v>
      </c>
    </row>
    <row r="41" spans="8:14" x14ac:dyDescent="0.2">
      <c r="H41">
        <v>8</v>
      </c>
      <c r="I41">
        <v>4.62</v>
      </c>
      <c r="J41">
        <v>0.357184152412445</v>
      </c>
      <c r="L41">
        <v>8</v>
      </c>
      <c r="M41">
        <v>5.0999999999999996</v>
      </c>
      <c r="N41">
        <v>0.42394517289162797</v>
      </c>
    </row>
    <row r="42" spans="8:14" x14ac:dyDescent="0.2">
      <c r="H42">
        <v>10</v>
      </c>
      <c r="I42">
        <v>4.62</v>
      </c>
      <c r="J42">
        <v>0.33617787069404298</v>
      </c>
      <c r="L42">
        <v>10</v>
      </c>
      <c r="M42">
        <v>5.0999999999999996</v>
      </c>
      <c r="N42">
        <v>0.39659346004184798</v>
      </c>
    </row>
    <row r="43" spans="8:14" x14ac:dyDescent="0.2">
      <c r="H43">
        <v>0</v>
      </c>
      <c r="I43">
        <v>5.7</v>
      </c>
      <c r="J43">
        <v>6.4635419333442204E-2</v>
      </c>
      <c r="L43">
        <v>0</v>
      </c>
      <c r="M43">
        <v>6.7</v>
      </c>
      <c r="N43">
        <v>0.122810622867322</v>
      </c>
    </row>
    <row r="44" spans="8:14" x14ac:dyDescent="0.2">
      <c r="H44">
        <v>1</v>
      </c>
      <c r="I44">
        <v>5.7</v>
      </c>
      <c r="J44">
        <v>0.150844711026663</v>
      </c>
      <c r="L44">
        <v>1</v>
      </c>
      <c r="M44">
        <v>6.7</v>
      </c>
      <c r="N44">
        <v>0.27752329342836102</v>
      </c>
    </row>
    <row r="45" spans="8:14" x14ac:dyDescent="0.2">
      <c r="H45">
        <v>2</v>
      </c>
      <c r="I45">
        <v>5.7</v>
      </c>
      <c r="J45">
        <v>0.23603088346546999</v>
      </c>
      <c r="L45">
        <v>2</v>
      </c>
      <c r="M45">
        <v>6.7</v>
      </c>
      <c r="N45">
        <v>0.30648500728078698</v>
      </c>
    </row>
    <row r="46" spans="8:14" x14ac:dyDescent="0.2">
      <c r="H46">
        <v>4</v>
      </c>
      <c r="I46">
        <v>5.7</v>
      </c>
      <c r="J46">
        <v>0.23636829486257799</v>
      </c>
      <c r="L46">
        <v>4</v>
      </c>
      <c r="M46">
        <v>6.7</v>
      </c>
      <c r="N46">
        <v>0.37358329560835501</v>
      </c>
    </row>
    <row r="47" spans="8:14" x14ac:dyDescent="0.2">
      <c r="H47">
        <v>6</v>
      </c>
      <c r="I47">
        <v>5.7</v>
      </c>
      <c r="J47">
        <v>0.33704363546390997</v>
      </c>
      <c r="L47">
        <v>6</v>
      </c>
      <c r="M47">
        <v>6.7</v>
      </c>
      <c r="N47">
        <v>0.46892396537333703</v>
      </c>
    </row>
    <row r="48" spans="8:14" x14ac:dyDescent="0.2">
      <c r="H48">
        <v>8</v>
      </c>
      <c r="I48">
        <v>5.7</v>
      </c>
      <c r="J48">
        <v>0.49375268186726701</v>
      </c>
      <c r="L48">
        <v>8</v>
      </c>
      <c r="M48">
        <v>6.7</v>
      </c>
      <c r="N48">
        <v>0.60057246974412104</v>
      </c>
    </row>
    <row r="49" spans="8:14" x14ac:dyDescent="0.2">
      <c r="H49">
        <v>10</v>
      </c>
      <c r="I49">
        <v>5.7</v>
      </c>
      <c r="J49">
        <v>0.44458299077229602</v>
      </c>
      <c r="L49">
        <v>10</v>
      </c>
      <c r="M49">
        <v>6.7</v>
      </c>
      <c r="N49">
        <v>0.608429733954715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D2BE2-27F6-4E95-99D4-8D5AAD84CDFD}">
  <dimension ref="A4:L20"/>
  <sheetViews>
    <sheetView workbookViewId="0">
      <selection activeCell="G26" sqref="G26"/>
    </sheetView>
  </sheetViews>
  <sheetFormatPr baseColWidth="10" defaultColWidth="8.83203125" defaultRowHeight="15" x14ac:dyDescent="0.2"/>
  <cols>
    <col min="1" max="1" width="30.5" customWidth="1"/>
  </cols>
  <sheetData>
    <row r="4" spans="1:12" x14ac:dyDescent="0.2">
      <c r="A4" t="s">
        <v>5</v>
      </c>
    </row>
    <row r="5" spans="1:12" x14ac:dyDescent="0.2">
      <c r="B5" t="s">
        <v>0</v>
      </c>
    </row>
    <row r="6" spans="1:12" x14ac:dyDescent="0.2">
      <c r="A6" t="s">
        <v>1</v>
      </c>
      <c r="B6">
        <v>0</v>
      </c>
      <c r="C6">
        <v>2</v>
      </c>
      <c r="D6">
        <v>4</v>
      </c>
      <c r="E6">
        <v>6</v>
      </c>
      <c r="F6">
        <v>8</v>
      </c>
      <c r="G6">
        <v>10</v>
      </c>
      <c r="H6">
        <v>15</v>
      </c>
      <c r="I6">
        <v>20</v>
      </c>
      <c r="J6">
        <v>30</v>
      </c>
    </row>
    <row r="7" spans="1:12" x14ac:dyDescent="0.2">
      <c r="A7" t="s">
        <v>10</v>
      </c>
      <c r="B7">
        <v>7.8880309567021176E-3</v>
      </c>
      <c r="C7">
        <v>1.5392937580437501E-2</v>
      </c>
      <c r="D7">
        <v>1.4584942084942E-2</v>
      </c>
      <c r="E7">
        <v>1.30849823037323E-2</v>
      </c>
      <c r="F7">
        <v>1.3604407979407901E-2</v>
      </c>
      <c r="G7">
        <v>1.2276383526383501E-2</v>
      </c>
      <c r="H7">
        <v>9.5055099742599701E-3</v>
      </c>
      <c r="I7">
        <v>8.3518339768339795E-3</v>
      </c>
      <c r="J7">
        <v>6.562097812097812E-3</v>
      </c>
      <c r="L7" t="s">
        <v>2</v>
      </c>
    </row>
    <row r="8" spans="1:12" x14ac:dyDescent="0.2">
      <c r="A8" t="s">
        <v>11</v>
      </c>
      <c r="B8">
        <v>1.2975779764856544E-2</v>
      </c>
      <c r="C8">
        <v>2.9661961068211E-2</v>
      </c>
      <c r="D8">
        <v>3.3356258043757997E-2</v>
      </c>
      <c r="E8">
        <v>3.2548262548262506E-2</v>
      </c>
      <c r="F8">
        <v>3.0584781209781201E-2</v>
      </c>
      <c r="G8">
        <v>2.7583655083654998E-2</v>
      </c>
      <c r="H8">
        <v>1.9964808558558499E-2</v>
      </c>
      <c r="I8">
        <v>1.43647442084942E-2</v>
      </c>
      <c r="J8">
        <v>8.8242036679536708E-3</v>
      </c>
      <c r="L8" t="s">
        <v>3</v>
      </c>
    </row>
    <row r="9" spans="1:12" x14ac:dyDescent="0.2">
      <c r="A9" t="s">
        <v>12</v>
      </c>
      <c r="B9">
        <v>2.0136501258999736E-2</v>
      </c>
      <c r="C9">
        <v>3.4285714285714197E-2</v>
      </c>
      <c r="D9">
        <v>4.1731418918918899E-2</v>
      </c>
      <c r="E9">
        <v>4.2424589768339703E-2</v>
      </c>
      <c r="F9">
        <v>3.9076576576576497E-2</v>
      </c>
      <c r="G9">
        <v>3.59011019948519E-2</v>
      </c>
      <c r="H9">
        <v>3.07645592020592E-2</v>
      </c>
      <c r="I9">
        <v>2.2566763191763099E-2</v>
      </c>
      <c r="J9">
        <v>1.2294280888030799E-2</v>
      </c>
      <c r="L9" t="s">
        <v>4</v>
      </c>
    </row>
    <row r="11" spans="1:12" x14ac:dyDescent="0.2">
      <c r="A11" t="s">
        <v>6</v>
      </c>
    </row>
    <row r="13" spans="1:12" x14ac:dyDescent="0.2">
      <c r="A13" t="s">
        <v>7</v>
      </c>
      <c r="B13">
        <v>0</v>
      </c>
      <c r="C13">
        <v>1</v>
      </c>
      <c r="D13">
        <v>2</v>
      </c>
      <c r="E13">
        <v>4</v>
      </c>
      <c r="F13">
        <v>6</v>
      </c>
      <c r="G13">
        <v>8</v>
      </c>
      <c r="H13">
        <v>10</v>
      </c>
    </row>
    <row r="14" spans="1:12" x14ac:dyDescent="0.2">
      <c r="A14" t="s">
        <v>18</v>
      </c>
      <c r="B14">
        <v>3.4958485999999997E-2</v>
      </c>
      <c r="C14">
        <v>8.6410998000000003E-2</v>
      </c>
      <c r="D14">
        <v>0.13040837299999999</v>
      </c>
      <c r="E14">
        <v>0.150119535</v>
      </c>
      <c r="F14">
        <v>0.14790699800000001</v>
      </c>
      <c r="G14">
        <v>0.17940034299999999</v>
      </c>
      <c r="H14">
        <v>0.17558504699999999</v>
      </c>
      <c r="L14" t="s">
        <v>8</v>
      </c>
    </row>
    <row r="15" spans="1:12" x14ac:dyDescent="0.2">
      <c r="A15" t="s">
        <v>13</v>
      </c>
      <c r="B15">
        <v>4.8236175999999999E-2</v>
      </c>
      <c r="C15">
        <v>0.131711099</v>
      </c>
      <c r="D15">
        <v>0.19576185400000001</v>
      </c>
      <c r="E15">
        <v>0.210789641</v>
      </c>
      <c r="F15">
        <v>0.25874055299999998</v>
      </c>
      <c r="G15">
        <v>0.333334572</v>
      </c>
      <c r="H15">
        <v>0.318053855</v>
      </c>
      <c r="L15" t="s">
        <v>9</v>
      </c>
    </row>
    <row r="16" spans="1:12" x14ac:dyDescent="0.2">
      <c r="A16" t="s">
        <v>14</v>
      </c>
      <c r="B16">
        <v>5.5710308E-2</v>
      </c>
      <c r="C16">
        <v>0.168393558</v>
      </c>
      <c r="D16">
        <v>0.24861196999999999</v>
      </c>
      <c r="E16">
        <v>0.24836984300000001</v>
      </c>
      <c r="F16">
        <v>0.38792291699999998</v>
      </c>
      <c r="G16">
        <v>0.52787069099999995</v>
      </c>
      <c r="H16">
        <v>0.4905197</v>
      </c>
    </row>
    <row r="18" spans="1:8" x14ac:dyDescent="0.2">
      <c r="A18" t="s">
        <v>15</v>
      </c>
      <c r="B18">
        <v>0.113907958</v>
      </c>
      <c r="C18">
        <v>0.19958224799999999</v>
      </c>
      <c r="D18">
        <v>0.218005319</v>
      </c>
      <c r="E18">
        <v>0.24432498699999999</v>
      </c>
      <c r="F18">
        <v>0.28480411500000002</v>
      </c>
      <c r="G18">
        <v>0.358179731</v>
      </c>
      <c r="H18">
        <v>0.32300438300000001</v>
      </c>
    </row>
    <row r="19" spans="1:8" x14ac:dyDescent="0.2">
      <c r="A19" t="s">
        <v>16</v>
      </c>
      <c r="B19">
        <v>0.15014371000000001</v>
      </c>
      <c r="C19">
        <v>0.28336861299999999</v>
      </c>
      <c r="D19">
        <v>0.31121036699999999</v>
      </c>
      <c r="E19">
        <v>0.35430228499999999</v>
      </c>
      <c r="F19">
        <v>0.41844489600000001</v>
      </c>
      <c r="G19">
        <v>0.52978325199999998</v>
      </c>
      <c r="H19">
        <v>0.48157488999999998</v>
      </c>
    </row>
    <row r="20" spans="1:8" x14ac:dyDescent="0.2">
      <c r="A20" t="s">
        <v>17</v>
      </c>
      <c r="B20">
        <v>0.16636261199999999</v>
      </c>
      <c r="C20">
        <v>0.34068137199999998</v>
      </c>
      <c r="D20">
        <v>0.376534058</v>
      </c>
      <c r="E20">
        <v>0.43842262199999998</v>
      </c>
      <c r="F20">
        <v>0.53300918799999997</v>
      </c>
      <c r="G20">
        <v>0.685691944</v>
      </c>
      <c r="H20">
        <v>0.63610873999999995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Experiments</vt:lpstr>
      <vt:lpstr>XYZ_contour</vt:lpstr>
      <vt:lpstr>yu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 Guertault</dc:creator>
  <cp:lastModifiedBy>Munoz-Carpena,Rafael</cp:lastModifiedBy>
  <dcterms:created xsi:type="dcterms:W3CDTF">2026-02-04T15:11:55Z</dcterms:created>
  <dcterms:modified xsi:type="dcterms:W3CDTF">2026-06-24T15:14:08Z</dcterms:modified>
</cp:coreProperties>
</file>