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My Drive\00RunoffPumping\keep\"/>
    </mc:Choice>
  </mc:AlternateContent>
  <xr:revisionPtr revIDLastSave="0" documentId="13_ncr:1_{DD7315A9-A899-4427-8BE5-FA2333573979}" xr6:coauthVersionLast="47" xr6:coauthVersionMax="47" xr10:uidLastSave="{00000000-0000-0000-0000-000000000000}"/>
  <bookViews>
    <workbookView xWindow="2520" yWindow="1770" windowWidth="24930" windowHeight="13680" activeTab="3" xr2:uid="{93EA61AD-FC36-AD48-BEB0-3562857CF95F}"/>
  </bookViews>
  <sheets>
    <sheet name="mass_no_sine (2)" sheetId="4" r:id="rId1"/>
    <sheet name="depth_no_sine" sheetId="2" r:id="rId2"/>
    <sheet name="mass" sheetId="3" r:id="rId3"/>
    <sheet name="depth_sine" sheetId="1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O13" i="3"/>
  <c r="H13" i="3"/>
  <c r="I13" i="3"/>
  <c r="J13" i="3"/>
  <c r="K13" i="3"/>
  <c r="L13" i="3"/>
  <c r="M13" i="3"/>
  <c r="I3" i="4"/>
  <c r="J3" i="4"/>
  <c r="K3" i="4"/>
  <c r="L3" i="4"/>
  <c r="I4" i="4"/>
  <c r="J4" i="4"/>
  <c r="K4" i="4"/>
  <c r="L4" i="4"/>
  <c r="J2" i="4"/>
  <c r="K2" i="4"/>
  <c r="L2" i="4"/>
  <c r="I2" i="4"/>
  <c r="Q13" i="3"/>
  <c r="R13" i="3"/>
  <c r="P13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15" i="3"/>
  <c r="E13" i="3"/>
  <c r="E11" i="3"/>
  <c r="E12" i="3"/>
  <c r="E15" i="3"/>
  <c r="F13" i="3"/>
  <c r="F11" i="3"/>
  <c r="F12" i="3"/>
  <c r="F15" i="3"/>
  <c r="G13" i="3"/>
  <c r="G11" i="3"/>
  <c r="G12" i="3"/>
  <c r="G15" i="3"/>
  <c r="D11" i="3"/>
  <c r="D12" i="3"/>
  <c r="D13" i="3"/>
  <c r="D15" i="3"/>
  <c r="E9" i="4"/>
  <c r="D9" i="4"/>
  <c r="C9" i="4"/>
  <c r="E8" i="4"/>
  <c r="D8" i="4"/>
  <c r="C8" i="4"/>
  <c r="B8" i="4"/>
  <c r="E7" i="4"/>
  <c r="D7" i="4"/>
  <c r="C7" i="4"/>
  <c r="B7" i="4"/>
  <c r="E9" i="2"/>
  <c r="D9" i="2"/>
  <c r="C9" i="2"/>
  <c r="E8" i="2"/>
  <c r="D8" i="2"/>
  <c r="C8" i="2"/>
  <c r="B8" i="2"/>
  <c r="E7" i="2"/>
  <c r="D7" i="2"/>
  <c r="C7" i="2"/>
  <c r="B7" i="2"/>
  <c r="B8" i="1"/>
  <c r="C8" i="1"/>
  <c r="D8" i="1"/>
  <c r="E8" i="1"/>
  <c r="F8" i="1"/>
  <c r="G8" i="1"/>
  <c r="B9" i="1"/>
  <c r="C9" i="1"/>
  <c r="D9" i="1"/>
  <c r="E9" i="1"/>
  <c r="F9" i="1"/>
  <c r="G9" i="1"/>
  <c r="C7" i="1"/>
  <c r="D7" i="1"/>
  <c r="E7" i="1"/>
  <c r="F7" i="1"/>
  <c r="G7" i="1"/>
  <c r="B7" i="1"/>
</calcChain>
</file>

<file path=xl/sharedStrings.xml><?xml version="1.0" encoding="utf-8"?>
<sst xmlns="http://schemas.openxmlformats.org/spreadsheetml/2006/main" count="227" uniqueCount="37">
  <si>
    <t>p_s</t>
  </si>
  <si>
    <t>p_h</t>
  </si>
  <si>
    <t>np_s</t>
  </si>
  <si>
    <t>np_h</t>
  </si>
  <si>
    <t>np_c</t>
  </si>
  <si>
    <t>Soil</t>
  </si>
  <si>
    <t>Clay</t>
  </si>
  <si>
    <t>Loam</t>
  </si>
  <si>
    <t>Sandy Loam</t>
  </si>
  <si>
    <t>Obs.</t>
  </si>
  <si>
    <t>Method</t>
  </si>
  <si>
    <t>Mass removed (g)</t>
  </si>
  <si>
    <t>C</t>
  </si>
  <si>
    <t>L</t>
  </si>
  <si>
    <t>SL</t>
  </si>
  <si>
    <t>C_Soil</t>
  </si>
  <si>
    <t>C_Runoff</t>
  </si>
  <si>
    <t>L_Soil</t>
  </si>
  <si>
    <t>L_Runoff</t>
  </si>
  <si>
    <t>SL_Soil</t>
  </si>
  <si>
    <t>SL_Runoff</t>
  </si>
  <si>
    <t>observation</t>
  </si>
  <si>
    <t>Soil profile</t>
  </si>
  <si>
    <t>2.36 [0.72-4.0]</t>
  </si>
  <si>
    <t>Runoff</t>
  </si>
  <si>
    <t>2.22 [0.0-4.69]</t>
  </si>
  <si>
    <t>1.40 [0.0-3.10]</t>
  </si>
  <si>
    <t>Box area (cm2)=</t>
  </si>
  <si>
    <t>Area under curve (g/cm2)=</t>
  </si>
  <si>
    <t>Initial (g/cm2)=</t>
  </si>
  <si>
    <t>Mass extracted (g/cm2)=</t>
  </si>
  <si>
    <t>Mass extracted(g)</t>
  </si>
  <si>
    <t>Porosity (-)=</t>
  </si>
  <si>
    <t>x</t>
  </si>
  <si>
    <t>y</t>
  </si>
  <si>
    <t>Loam-Havis</t>
  </si>
  <si>
    <t>Loam Havis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</si>
</sst>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ACCFED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1" fillId="2" borderId="5" xfId="0" applyFont="1" applyFill="1" applyBorder="1" applyAlignment="1">
      <alignment vertical="center" wrapText="1" readingOrder="1"/>
    </xf>
    <xf numFmtId="0" fontId="1" fillId="2" borderId="6" xfId="0" applyFont="1" applyFill="1" applyBorder="1" applyAlignment="1">
      <alignment vertical="center" wrapText="1" readingOrder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36441725264597"/>
          <c:y val="2.8116650573693825E-2"/>
          <c:w val="0.81717877232173552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'mass_no_sine (2)'!$B$6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(2)'!$B$7:$B$10</c:f>
              <c:numCache>
                <c:formatCode>General</c:formatCode>
                <c:ptCount val="4"/>
                <c:pt idx="0">
                  <c:v>3.36</c:v>
                </c:pt>
                <c:pt idx="1">
                  <c:v>2.2999999999999998</c:v>
                </c:pt>
                <c:pt idx="2">
                  <c:v>1.5</c:v>
                </c:pt>
                <c:pt idx="3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9-CF45-903A-9D298040509F}"/>
            </c:ext>
          </c:extLst>
        </c:ser>
        <c:ser>
          <c:idx val="2"/>
          <c:order val="1"/>
          <c:tx>
            <c:strRef>
              <c:f>'mass_no_sine (2)'!$C$6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(2)'!$C$7:$C$10</c:f>
              <c:numCache>
                <c:formatCode>General</c:formatCode>
                <c:ptCount val="4"/>
                <c:pt idx="0">
                  <c:v>3.4</c:v>
                </c:pt>
                <c:pt idx="1">
                  <c:v>2.46</c:v>
                </c:pt>
                <c:pt idx="2">
                  <c:v>1.54</c:v>
                </c:pt>
                <c:pt idx="3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9-CF45-903A-9D298040509F}"/>
            </c:ext>
          </c:extLst>
        </c:ser>
        <c:ser>
          <c:idx val="4"/>
          <c:order val="2"/>
          <c:tx>
            <c:strRef>
              <c:f>'mass_no_sine (2)'!$D$6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(2)'!$D$7:$D$10</c:f>
              <c:numCache>
                <c:formatCode>General</c:formatCode>
                <c:ptCount val="4"/>
                <c:pt idx="0">
                  <c:v>1.34</c:v>
                </c:pt>
                <c:pt idx="1">
                  <c:v>1.1599999999999999</c:v>
                </c:pt>
                <c:pt idx="2">
                  <c:v>1.52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9-CF45-903A-9D298040509F}"/>
            </c:ext>
          </c:extLst>
        </c:ser>
        <c:ser>
          <c:idx val="5"/>
          <c:order val="3"/>
          <c:tx>
            <c:strRef>
              <c:f>'mass_no_sine (2)'!$E$6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(2)'!$E$7:$E$10</c:f>
              <c:numCache>
                <c:formatCode>General</c:formatCode>
                <c:ptCount val="4"/>
                <c:pt idx="0">
                  <c:v>1.32</c:v>
                </c:pt>
                <c:pt idx="1">
                  <c:v>1.08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69-CF45-903A-9D2980405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Extraction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096993971385517"/>
          <c:y val="4.0584239528390673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146484278730845"/>
          <c:y val="2.8116650573693825E-2"/>
          <c:w val="0.76607828495611363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'mass_no_sine (2)'!$I$6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(2)'!$I$7:$I$10</c:f>
              <c:numCache>
                <c:formatCode>General</c:formatCode>
                <c:ptCount val="4"/>
                <c:pt idx="0">
                  <c:v>1.5866666666666666E-3</c:v>
                </c:pt>
                <c:pt idx="1">
                  <c:v>1.4400000000000001E-3</c:v>
                </c:pt>
                <c:pt idx="2">
                  <c:v>8.7333333333333338E-4</c:v>
                </c:pt>
                <c:pt idx="3">
                  <c:v>1.655117E-3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E-3243-849F-B199A8165263}"/>
            </c:ext>
          </c:extLst>
        </c:ser>
        <c:ser>
          <c:idx val="2"/>
          <c:order val="1"/>
          <c:tx>
            <c:strRef>
              <c:f>'mass_no_sine (2)'!$J$6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(2)'!$J$7:$J$10</c:f>
              <c:numCache>
                <c:formatCode>General</c:formatCode>
                <c:ptCount val="4"/>
                <c:pt idx="0">
                  <c:v>1.2066666666666667E-3</c:v>
                </c:pt>
                <c:pt idx="1">
                  <c:v>1.06E-3</c:v>
                </c:pt>
                <c:pt idx="2">
                  <c:v>7.9999999999999993E-4</c:v>
                </c:pt>
                <c:pt idx="3">
                  <c:v>1.6930199999999999E-3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E-3243-849F-B199A8165263}"/>
            </c:ext>
          </c:extLst>
        </c:ser>
        <c:ser>
          <c:idx val="4"/>
          <c:order val="2"/>
          <c:tx>
            <c:strRef>
              <c:f>'mass_no_sine (2)'!$K$6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(2)'!$K$7:$K$10</c:f>
              <c:numCache>
                <c:formatCode>General</c:formatCode>
                <c:ptCount val="4"/>
                <c:pt idx="0">
                  <c:v>7.5333333333333329E-4</c:v>
                </c:pt>
                <c:pt idx="1">
                  <c:v>6.9999999999999999E-4</c:v>
                </c:pt>
                <c:pt idx="2">
                  <c:v>8.4666666666666668E-4</c:v>
                </c:pt>
                <c:pt idx="3">
                  <c:v>4.8708399999999999E-4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E-3243-849F-B199A8165263}"/>
            </c:ext>
          </c:extLst>
        </c:ser>
        <c:ser>
          <c:idx val="5"/>
          <c:order val="3"/>
          <c:tx>
            <c:strRef>
              <c:f>'mass_no_sine (2)'!$L$6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(2)'!$L$7:$L$10</c:f>
              <c:numCache>
                <c:formatCode>General</c:formatCode>
                <c:ptCount val="4"/>
                <c:pt idx="0">
                  <c:v>6.466666666666667E-4</c:v>
                </c:pt>
                <c:pt idx="1">
                  <c:v>6.1333333333333335E-4</c:v>
                </c:pt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E-3243-849F-B199A8165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  <c:max val="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latin typeface="Helvetica" pitchFamily="2" charset="0"/>
                  </a:rPr>
                  <a:t>Mass extracted (g/cm</a:t>
                </a:r>
                <a:r>
                  <a:rPr lang="en-US" baseline="30000">
                    <a:latin typeface="Helvetica" pitchFamily="2" charset="0"/>
                  </a:rPr>
                  <a:t>2</a:t>
                </a:r>
                <a:r>
                  <a:rPr lang="en-US">
                    <a:latin typeface="Helvetica" pitchFamily="2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746026612061045"/>
          <c:y val="5.566440187168168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36441725264597"/>
          <c:y val="2.8116650573693825E-2"/>
          <c:w val="0.81717877232173552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depth_no_sine!$B$6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depth_no_sine!$B$7:$B$9</c:f>
              <c:numCache>
                <c:formatCode>General</c:formatCode>
                <c:ptCount val="3"/>
                <c:pt idx="0">
                  <c:v>3.36</c:v>
                </c:pt>
                <c:pt idx="1">
                  <c:v>2.2999999999999998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014A-A771-E630B60FE5E3}"/>
            </c:ext>
          </c:extLst>
        </c:ser>
        <c:ser>
          <c:idx val="2"/>
          <c:order val="1"/>
          <c:tx>
            <c:strRef>
              <c:f>depth_no_sine!$C$6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depth_no_sine!$C$7:$C$9</c:f>
              <c:numCache>
                <c:formatCode>General</c:formatCode>
                <c:ptCount val="3"/>
                <c:pt idx="0">
                  <c:v>3.4</c:v>
                </c:pt>
                <c:pt idx="1">
                  <c:v>2.46</c:v>
                </c:pt>
                <c:pt idx="2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A-014A-A771-E630B60FE5E3}"/>
            </c:ext>
          </c:extLst>
        </c:ser>
        <c:ser>
          <c:idx val="4"/>
          <c:order val="2"/>
          <c:tx>
            <c:strRef>
              <c:f>depth_no_sine!$D$6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depth_no_sine!$D$7:$D$9</c:f>
              <c:numCache>
                <c:formatCode>General</c:formatCode>
                <c:ptCount val="3"/>
                <c:pt idx="0">
                  <c:v>1.34</c:v>
                </c:pt>
                <c:pt idx="1">
                  <c:v>1.1599999999999999</c:v>
                </c:pt>
                <c:pt idx="2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A-014A-A771-E630B60FE5E3}"/>
            </c:ext>
          </c:extLst>
        </c:ser>
        <c:ser>
          <c:idx val="5"/>
          <c:order val="3"/>
          <c:tx>
            <c:strRef>
              <c:f>depth_no_sine!$E$6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depth_no_sine!$E$7:$E$9</c:f>
              <c:numCache>
                <c:formatCode>General</c:formatCode>
                <c:ptCount val="3"/>
                <c:pt idx="0">
                  <c:v>1.32</c:v>
                </c:pt>
                <c:pt idx="1">
                  <c:v>1.08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A-014A-A771-E630B60FE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Extraction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8743355257141201"/>
          <c:y val="3.5557530862614269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mass!$F$21:$F$27</c:f>
              <c:numCache>
                <c:formatCode>General</c:formatCode>
                <c:ptCount val="7"/>
              </c:numCache>
            </c:numRef>
          </c:xVal>
          <c:yVal>
            <c:numRef>
              <c:f>mass!$G$21:$G$27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6-8A45-8C05-491562998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151952"/>
        <c:axId val="1315128144"/>
      </c:scatterChart>
      <c:valAx>
        <c:axId val="16081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28144"/>
        <c:crosses val="autoZero"/>
        <c:crossBetween val="midCat"/>
      </c:valAx>
      <c:valAx>
        <c:axId val="13151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15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7.5000000000000002E-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mass!$AB$15:$AB$21</c:f>
              <c:numCache>
                <c:formatCode>General</c:formatCode>
                <c:ptCount val="7"/>
                <c:pt idx="0">
                  <c:v>7.27E-4</c:v>
                </c:pt>
                <c:pt idx="1">
                  <c:v>1.4430000000000001E-3</c:v>
                </c:pt>
                <c:pt idx="2">
                  <c:v>2.9150000000000001E-3</c:v>
                </c:pt>
                <c:pt idx="3">
                  <c:v>3.434E-3</c:v>
                </c:pt>
                <c:pt idx="4">
                  <c:v>3.5300000000000002E-3</c:v>
                </c:pt>
                <c:pt idx="5">
                  <c:v>3.4689999999999999E-3</c:v>
                </c:pt>
                <c:pt idx="6">
                  <c:v>3.6830000000000001E-3</c:v>
                </c:pt>
              </c:numCache>
            </c:numRef>
          </c:xVal>
          <c:yVal>
            <c:numRef>
              <c:f>mass!$AC$15:$AC$21</c:f>
              <c:numCache>
                <c:formatCode>General</c:formatCode>
                <c:ptCount val="7"/>
                <c:pt idx="0">
                  <c:v>0.1</c:v>
                </c:pt>
                <c:pt idx="1">
                  <c:v>0.24</c:v>
                </c:pt>
                <c:pt idx="2">
                  <c:v>0.74</c:v>
                </c:pt>
                <c:pt idx="3">
                  <c:v>1.5</c:v>
                </c:pt>
                <c:pt idx="4">
                  <c:v>2.5</c:v>
                </c:pt>
                <c:pt idx="5">
                  <c:v>3.5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1-0B40-AB60-5276616D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08879"/>
        <c:axId val="102365343"/>
      </c:scatterChart>
      <c:valAx>
        <c:axId val="10260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5343"/>
        <c:crosses val="autoZero"/>
        <c:crossBetween val="midCat"/>
      </c:valAx>
      <c:valAx>
        <c:axId val="1023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0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19903762029746"/>
          <c:y val="4.682134303878778E-2"/>
          <c:w val="0.782245406824147"/>
          <c:h val="0.86460399910562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depth_sine!$A$7</c:f>
              <c:strCache>
                <c:ptCount val="1"/>
                <c:pt idx="0">
                  <c:v>Clay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depth_sine!$B$6:$G$6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depth_sine!$B$7:$G$7</c:f>
              <c:numCache>
                <c:formatCode>General</c:formatCode>
                <c:ptCount val="6"/>
                <c:pt idx="0">
                  <c:v>3.36</c:v>
                </c:pt>
                <c:pt idx="1">
                  <c:v>3.76</c:v>
                </c:pt>
                <c:pt idx="2">
                  <c:v>3.4</c:v>
                </c:pt>
                <c:pt idx="3">
                  <c:v>1.76</c:v>
                </c:pt>
                <c:pt idx="4">
                  <c:v>1.34</c:v>
                </c:pt>
                <c:pt idx="5">
                  <c:v>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D-C343-8B99-69052A8F80A7}"/>
            </c:ext>
          </c:extLst>
        </c:ser>
        <c:ser>
          <c:idx val="1"/>
          <c:order val="1"/>
          <c:tx>
            <c:strRef>
              <c:f>depth_sine!$A$8</c:f>
              <c:strCache>
                <c:ptCount val="1"/>
                <c:pt idx="0">
                  <c:v>Loam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depth_sine!$B$6:$G$6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depth_sine!$B$8:$G$8</c:f>
              <c:numCache>
                <c:formatCode>General</c:formatCode>
                <c:ptCount val="6"/>
                <c:pt idx="0">
                  <c:v>2.2999999999999998</c:v>
                </c:pt>
                <c:pt idx="1">
                  <c:v>2.86</c:v>
                </c:pt>
                <c:pt idx="2">
                  <c:v>2.46</c:v>
                </c:pt>
                <c:pt idx="3">
                  <c:v>1.5</c:v>
                </c:pt>
                <c:pt idx="4">
                  <c:v>1.1599999999999999</c:v>
                </c:pt>
                <c:pt idx="5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D-C343-8B99-69052A8F80A7}"/>
            </c:ext>
          </c:extLst>
        </c:ser>
        <c:ser>
          <c:idx val="2"/>
          <c:order val="2"/>
          <c:tx>
            <c:strRef>
              <c:f>depth_sine!$A$9</c:f>
              <c:strCache>
                <c:ptCount val="1"/>
                <c:pt idx="0">
                  <c:v>Sandy Loam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depth_sine!$B$6:$G$6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depth_sine!$B$9:$G$9</c:f>
              <c:numCache>
                <c:formatCode>General</c:formatCode>
                <c:ptCount val="6"/>
                <c:pt idx="0">
                  <c:v>2.5</c:v>
                </c:pt>
                <c:pt idx="1">
                  <c:v>2.66</c:v>
                </c:pt>
                <c:pt idx="2">
                  <c:v>1.54</c:v>
                </c:pt>
                <c:pt idx="3">
                  <c:v>1.62</c:v>
                </c:pt>
                <c:pt idx="4">
                  <c:v>1.52</c:v>
                </c:pt>
                <c:pt idx="5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BD-C343-8B99-69052A8F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785247"/>
        <c:axId val="1355159407"/>
      </c:barChart>
      <c:catAx>
        <c:axId val="135578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59407"/>
        <c:crosses val="autoZero"/>
        <c:auto val="1"/>
        <c:lblAlgn val="ctr"/>
        <c:lblOffset val="100"/>
        <c:noMultiLvlLbl val="0"/>
      </c:catAx>
      <c:valAx>
        <c:axId val="13551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Extraction (mixing layer)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85247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53150393700787402"/>
          <c:y val="6.5658833975466666E-2"/>
          <c:w val="0.42588079615048119"/>
          <c:h val="0.19120594658492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depth_sine!$J$11</c:f>
              <c:strCache>
                <c:ptCount val="1"/>
                <c:pt idx="0">
                  <c:v>C_Soil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depth_sine!$K$11:$P$11</c:f>
              <c:numCache>
                <c:formatCode>General</c:formatCode>
                <c:ptCount val="6"/>
                <c:pt idx="0">
                  <c:v>2.38</c:v>
                </c:pt>
                <c:pt idx="1">
                  <c:v>1.83</c:v>
                </c:pt>
                <c:pt idx="2">
                  <c:v>1.81</c:v>
                </c:pt>
                <c:pt idx="3">
                  <c:v>1.61</c:v>
                </c:pt>
                <c:pt idx="4">
                  <c:v>1.1299999999999999</c:v>
                </c:pt>
                <c:pt idx="5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E-FC4E-8096-5F3366241D84}"/>
            </c:ext>
          </c:extLst>
        </c:ser>
        <c:ser>
          <c:idx val="1"/>
          <c:order val="1"/>
          <c:tx>
            <c:strRef>
              <c:f>depth_sine!$J$12</c:f>
              <c:strCache>
                <c:ptCount val="1"/>
                <c:pt idx="0">
                  <c:v>C_Runoff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depth_sine!$K$12:$P$12</c:f>
              <c:numCache>
                <c:formatCode>General</c:formatCode>
                <c:ptCount val="6"/>
                <c:pt idx="0">
                  <c:v>3.36</c:v>
                </c:pt>
                <c:pt idx="1">
                  <c:v>1.81</c:v>
                </c:pt>
                <c:pt idx="2">
                  <c:v>1.8</c:v>
                </c:pt>
                <c:pt idx="3">
                  <c:v>1.62</c:v>
                </c:pt>
                <c:pt idx="4">
                  <c:v>1.1299999999999999</c:v>
                </c:pt>
                <c:pt idx="5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E-FC4E-8096-5F3366241D84}"/>
            </c:ext>
          </c:extLst>
        </c:ser>
        <c:ser>
          <c:idx val="2"/>
          <c:order val="2"/>
          <c:tx>
            <c:strRef>
              <c:f>depth_sine!$J$13</c:f>
              <c:strCache>
                <c:ptCount val="1"/>
                <c:pt idx="0">
                  <c:v>L_Soil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depth_sine!$K$13:$P$13</c:f>
              <c:numCache>
                <c:formatCode>General</c:formatCode>
                <c:ptCount val="6"/>
                <c:pt idx="0">
                  <c:v>2.16</c:v>
                </c:pt>
                <c:pt idx="1">
                  <c:v>1.65</c:v>
                </c:pt>
                <c:pt idx="2">
                  <c:v>1.59</c:v>
                </c:pt>
                <c:pt idx="3">
                  <c:v>1.38</c:v>
                </c:pt>
                <c:pt idx="4">
                  <c:v>1.05</c:v>
                </c:pt>
                <c:pt idx="5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E-FC4E-8096-5F3366241D84}"/>
            </c:ext>
          </c:extLst>
        </c:ser>
        <c:ser>
          <c:idx val="3"/>
          <c:order val="3"/>
          <c:tx>
            <c:strRef>
              <c:f>depth_sine!$J$14</c:f>
              <c:strCache>
                <c:ptCount val="1"/>
                <c:pt idx="0">
                  <c:v>L_Runoff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depth_sine!$K$14:$P$14</c:f>
              <c:numCache>
                <c:formatCode>General</c:formatCode>
                <c:ptCount val="6"/>
                <c:pt idx="0">
                  <c:v>1.64</c:v>
                </c:pt>
                <c:pt idx="1">
                  <c:v>1.61</c:v>
                </c:pt>
                <c:pt idx="2">
                  <c:v>1.56</c:v>
                </c:pt>
                <c:pt idx="3">
                  <c:v>1.37</c:v>
                </c:pt>
                <c:pt idx="4">
                  <c:v>1.05</c:v>
                </c:pt>
                <c:pt idx="5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2E-FC4E-8096-5F3366241D84}"/>
            </c:ext>
          </c:extLst>
        </c:ser>
        <c:ser>
          <c:idx val="4"/>
          <c:order val="4"/>
          <c:tx>
            <c:strRef>
              <c:f>depth_sine!$J$15</c:f>
              <c:strCache>
                <c:ptCount val="1"/>
                <c:pt idx="0">
                  <c:v>SL_Soil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depth_sine!$K$15:$P$15</c:f>
              <c:numCache>
                <c:formatCode>General</c:formatCode>
                <c:ptCount val="6"/>
                <c:pt idx="0">
                  <c:v>1.31</c:v>
                </c:pt>
                <c:pt idx="1">
                  <c:v>1.29</c:v>
                </c:pt>
                <c:pt idx="2">
                  <c:v>1.2</c:v>
                </c:pt>
                <c:pt idx="3">
                  <c:v>1.35</c:v>
                </c:pt>
                <c:pt idx="4">
                  <c:v>1.27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2E-FC4E-8096-5F3366241D84}"/>
            </c:ext>
          </c:extLst>
        </c:ser>
        <c:ser>
          <c:idx val="5"/>
          <c:order val="5"/>
          <c:tx>
            <c:strRef>
              <c:f>depth_sine!$J$16</c:f>
              <c:strCache>
                <c:ptCount val="1"/>
                <c:pt idx="0">
                  <c:v>SL_Runoff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depth_sine!$K$10:$P$10</c:f>
              <c:strCache>
                <c:ptCount val="6"/>
                <c:pt idx="0">
                  <c:v>Obs.</c:v>
                </c:pt>
                <c:pt idx="1">
                  <c:v>p_s</c:v>
                </c:pt>
                <c:pt idx="2">
                  <c:v>p_h</c:v>
                </c:pt>
                <c:pt idx="3">
                  <c:v>np_s</c:v>
                </c:pt>
                <c:pt idx="4">
                  <c:v>np_h</c:v>
                </c:pt>
                <c:pt idx="5">
                  <c:v>np_c</c:v>
                </c:pt>
              </c:strCache>
            </c:strRef>
          </c:cat>
          <c:val>
            <c:numRef>
              <c:f>depth_sine!$K$16:$P$16</c:f>
              <c:numCache>
                <c:formatCode>General</c:formatCode>
                <c:ptCount val="6"/>
                <c:pt idx="0">
                  <c:v>1.44</c:v>
                </c:pt>
                <c:pt idx="1">
                  <c:v>1.29</c:v>
                </c:pt>
                <c:pt idx="2">
                  <c:v>1.2</c:v>
                </c:pt>
                <c:pt idx="3">
                  <c:v>1.36</c:v>
                </c:pt>
                <c:pt idx="4">
                  <c:v>1.27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2E-FC4E-8096-5F3366241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372047"/>
        <c:axId val="1352239135"/>
      </c:barChart>
      <c:catAx>
        <c:axId val="13523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39135"/>
        <c:crosses val="autoZero"/>
        <c:auto val="1"/>
        <c:lblAlgn val="ctr"/>
        <c:lblOffset val="100"/>
        <c:noMultiLvlLbl val="0"/>
      </c:catAx>
      <c:valAx>
        <c:axId val="13522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remobilized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37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36441725264597"/>
          <c:y val="2.8116650573693825E-2"/>
          <c:w val="0.81717877232173552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depth_sine!$B$6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depth_sine!$B$7:$B$9</c:f>
              <c:numCache>
                <c:formatCode>General</c:formatCode>
                <c:ptCount val="3"/>
                <c:pt idx="0">
                  <c:v>3.36</c:v>
                </c:pt>
                <c:pt idx="1">
                  <c:v>2.2999999999999998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1-A444-83E9-AE511F9DBFD3}"/>
            </c:ext>
          </c:extLst>
        </c:ser>
        <c:ser>
          <c:idx val="1"/>
          <c:order val="1"/>
          <c:tx>
            <c:strRef>
              <c:f>depth_sine!$C$6</c:f>
              <c:strCache>
                <c:ptCount val="1"/>
                <c:pt idx="0">
                  <c:v>p_s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depth_sine!$C$7:$C$9</c:f>
              <c:numCache>
                <c:formatCode>General</c:formatCode>
                <c:ptCount val="3"/>
                <c:pt idx="0">
                  <c:v>3.76</c:v>
                </c:pt>
                <c:pt idx="1">
                  <c:v>2.86</c:v>
                </c:pt>
                <c:pt idx="2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1-A444-83E9-AE511F9DBFD3}"/>
            </c:ext>
          </c:extLst>
        </c:ser>
        <c:ser>
          <c:idx val="2"/>
          <c:order val="2"/>
          <c:tx>
            <c:strRef>
              <c:f>depth_sine!$D$6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depth_sine!$D$7:$D$9</c:f>
              <c:numCache>
                <c:formatCode>General</c:formatCode>
                <c:ptCount val="3"/>
                <c:pt idx="0">
                  <c:v>3.4</c:v>
                </c:pt>
                <c:pt idx="1">
                  <c:v>2.46</c:v>
                </c:pt>
                <c:pt idx="2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1-A444-83E9-AE511F9DBFD3}"/>
            </c:ext>
          </c:extLst>
        </c:ser>
        <c:ser>
          <c:idx val="3"/>
          <c:order val="3"/>
          <c:tx>
            <c:strRef>
              <c:f>depth_sine!$E$6</c:f>
              <c:strCache>
                <c:ptCount val="1"/>
                <c:pt idx="0">
                  <c:v>np_s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depth_sine!$E$7:$E$9</c:f>
              <c:numCache>
                <c:formatCode>General</c:formatCode>
                <c:ptCount val="3"/>
                <c:pt idx="0">
                  <c:v>1.76</c:v>
                </c:pt>
                <c:pt idx="1">
                  <c:v>1.5</c:v>
                </c:pt>
                <c:pt idx="2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D1-A444-83E9-AE511F9DBFD3}"/>
            </c:ext>
          </c:extLst>
        </c:ser>
        <c:ser>
          <c:idx val="4"/>
          <c:order val="4"/>
          <c:tx>
            <c:strRef>
              <c:f>depth_sine!$F$6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depth_sine!$F$7:$F$9</c:f>
              <c:numCache>
                <c:formatCode>General</c:formatCode>
                <c:ptCount val="3"/>
                <c:pt idx="0">
                  <c:v>1.34</c:v>
                </c:pt>
                <c:pt idx="1">
                  <c:v>1.1599999999999999</c:v>
                </c:pt>
                <c:pt idx="2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D1-A444-83E9-AE511F9DBFD3}"/>
            </c:ext>
          </c:extLst>
        </c:ser>
        <c:ser>
          <c:idx val="5"/>
          <c:order val="5"/>
          <c:tx>
            <c:strRef>
              <c:f>depth_sine!$G$6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depth_sine!$A$7:$A$9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depth_sine!$G$7:$G$9</c:f>
              <c:numCache>
                <c:formatCode>General</c:formatCode>
                <c:ptCount val="3"/>
                <c:pt idx="0">
                  <c:v>1.32</c:v>
                </c:pt>
                <c:pt idx="1">
                  <c:v>1.08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D1-A444-83E9-AE511F9D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Extraction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8743355257141201"/>
          <c:y val="3.5557530862614269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48746</xdr:colOff>
      <xdr:row>17</xdr:row>
      <xdr:rowOff>0</xdr:rowOff>
    </xdr:from>
    <xdr:to>
      <xdr:col>12</xdr:col>
      <xdr:colOff>156209</xdr:colOff>
      <xdr:row>42</xdr:row>
      <xdr:rowOff>58614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D34C9-E17D-5B4B-8967-B5D9A89DF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156964</xdr:colOff>
      <xdr:row>17</xdr:row>
      <xdr:rowOff>2</xdr:rowOff>
    </xdr:from>
    <xdr:to>
      <xdr:col>18</xdr:col>
      <xdr:colOff>570787</xdr:colOff>
      <xdr:row>42</xdr:row>
      <xdr:rowOff>58616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3B019-847D-954F-A125-C6D3D3287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0.17039</cdr:x>
      <cdr:y>0.08865</cdr:y>
    </cdr:from>
    <cdr:to>
      <cdr:x>0.21401</cdr:x>
      <cdr:y>0.16774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767363" y="549773"/>
          <a:ext cx="407175" cy="220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0.22024</cdr:x>
      <cdr:y>0.08965</cdr:y>
    </cdr:from>
    <cdr:to>
      <cdr:x>0.27013</cdr:x>
      <cdr:y>0.16281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059048" y="511307"/>
          <a:ext cx="369677" cy="25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0.26327</cdr:x>
      <cdr:y>0.51453</cdr:y>
    </cdr:from>
    <cdr:to>
      <cdr:x>0.31317</cdr:x>
      <cdr:y>0.59362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262382" y="2673159"/>
          <a:ext cx="399641" cy="253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0.30281</cdr:x>
      <cdr:y>0.5183</cdr:y>
    </cdr:from>
    <cdr:to>
      <cdr:x>0.35271</cdr:x>
      <cdr:y>0.59739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462989" y="2692199"/>
          <a:ext cx="399642" cy="253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0.22005</cdr:x>
      <cdr:y>0.11689</cdr:y>
    </cdr:from>
    <cdr:to>
      <cdr:x>0.26367</cdr:x>
      <cdr:y>0.19598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1101332" y="673115"/>
          <a:ext cx="399642" cy="2346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0.26427</cdr:x>
      <cdr:y>0.28734</cdr:y>
    </cdr:from>
    <cdr:to>
      <cdr:x>0.31416</cdr:x>
      <cdr:y>0.3605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371068" y="1502551"/>
          <a:ext cx="369678" cy="268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0.3073</cdr:x>
      <cdr:y>0.475</cdr:y>
    </cdr:from>
    <cdr:to>
      <cdr:x>0.3572</cdr:x>
      <cdr:y>0.55409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587600" y="2465752"/>
          <a:ext cx="399641" cy="26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0.3425</cdr:x>
      <cdr:y>0.52395</cdr:y>
    </cdr:from>
    <cdr:to>
      <cdr:x>0.3924</cdr:x>
      <cdr:y>0.60304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776964" y="2713096"/>
          <a:ext cx="399642" cy="26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63016</xdr:colOff>
      <xdr:row>22</xdr:row>
      <xdr:rowOff>0</xdr:rowOff>
    </xdr:from>
    <xdr:to>
      <xdr:col>12</xdr:col>
      <xdr:colOff>170479</xdr:colOff>
      <xdr:row>47</xdr:row>
      <xdr:rowOff>58615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B9F85-6286-2643-9F9A-E1FD98DD2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0.17039</cdr:x>
      <cdr:y>0.08865</cdr:y>
    </cdr:from>
    <cdr:to>
      <cdr:x>0.21401</cdr:x>
      <cdr:y>0.16774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767363" y="549773"/>
          <a:ext cx="407175" cy="220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0.25399</cdr:x>
      <cdr:y>0.08683</cdr:y>
    </cdr:from>
    <cdr:to>
      <cdr:x>0.30388</cdr:x>
      <cdr:y>0.15999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220778" y="509324"/>
          <a:ext cx="376677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0.29983</cdr:x>
      <cdr:y>0.51453</cdr:y>
    </cdr:from>
    <cdr:to>
      <cdr:x>0.34973</cdr:x>
      <cdr:y>0.59362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437133" y="2726509"/>
          <a:ext cx="407180" cy="2520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0.34781</cdr:x>
      <cdr:y>0.51265</cdr:y>
    </cdr:from>
    <cdr:to>
      <cdr:x>0.39771</cdr:x>
      <cdr:y>0.59174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679502" y="2716830"/>
          <a:ext cx="407179" cy="252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220840</xdr:colOff>
      <xdr:row>14</xdr:row>
      <xdr:rowOff>71732</xdr:rowOff>
    </xdr:from>
    <xdr:to>
      <xdr:col>26</xdr:col>
      <xdr:colOff>682038</xdr:colOff>
      <xdr:row>35</xdr:row>
      <xdr:rowOff>103482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4FC07-A72B-4EE6-9D19-9DBF30E6A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536223</xdr:colOff>
      <xdr:row>0</xdr:row>
      <xdr:rowOff>0</xdr:rowOff>
    </xdr:from>
    <xdr:to>
      <xdr:col>25</xdr:col>
      <xdr:colOff>169334</xdr:colOff>
      <xdr:row>13</xdr:row>
      <xdr:rowOff>85607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94EFD3-16E7-4899-6997-1AD1C1CF9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434729</xdr:colOff>
      <xdr:row>9</xdr:row>
      <xdr:rowOff>40054</xdr:rowOff>
    </xdr:from>
    <xdr:to>
      <xdr:col>6</xdr:col>
      <xdr:colOff>595923</xdr:colOff>
      <xdr:row>31</xdr:row>
      <xdr:rowOff>107462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BAD6DE-B699-15BD-B2FB-4B656D291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73269</xdr:colOff>
      <xdr:row>5</xdr:row>
      <xdr:rowOff>118208</xdr:rowOff>
    </xdr:from>
    <xdr:to>
      <xdr:col>14</xdr:col>
      <xdr:colOff>493346</xdr:colOff>
      <xdr:row>16</xdr:row>
      <xdr:rowOff>8793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5B620F-5F2A-10DA-3439-BDDF7BC95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731947</xdr:colOff>
      <xdr:row>9</xdr:row>
      <xdr:rowOff>96947</xdr:rowOff>
    </xdr:from>
    <xdr:to>
      <xdr:col>13</xdr:col>
      <xdr:colOff>15365</xdr:colOff>
      <xdr:row>32</xdr:row>
      <xdr:rowOff>87699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9B1773-37AA-3429-C286-67E11D889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0.17039</cdr:x>
      <cdr:y>0.08865</cdr:y>
    </cdr:from>
    <cdr:to>
      <cdr:x>0.21401</cdr:x>
      <cdr:y>0.16774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767363" y="549773"/>
          <a:ext cx="407175" cy="220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0.22115</cdr:x>
      <cdr:y>0.01363</cdr:y>
    </cdr:from>
    <cdr:to>
      <cdr:x>0.27105</cdr:x>
      <cdr:y>0.09272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8A8C1B6-CF1A-95B6-03D3-88E6C628F164}"/>
            </a:ext>
          </a:extLst>
        </cdr:cNvPr>
        <cdr:cNvSpPr txBox="1"/>
      </cdr:nvSpPr>
      <cdr:spPr>
        <a:xfrm xmlns:a="http://schemas.openxmlformats.org/drawingml/2006/main" rot="18268332">
          <a:off x="1039657" y="147747"/>
          <a:ext cx="407175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p_s</a:t>
          </a:r>
        </a:p>
      </cdr:txBody>
    </cdr:sp>
  </cdr:relSizeAnchor>
  <cdr:relSizeAnchor xmlns:cdr="http://schemas.openxmlformats.org/drawingml/2006/chartDrawing">
    <cdr:from>
      <cdr:x>0.25399</cdr:x>
      <cdr:y>0.08683</cdr:y>
    </cdr:from>
    <cdr:to>
      <cdr:x>0.30388</cdr:x>
      <cdr:y>0.15999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220778" y="509324"/>
          <a:ext cx="376677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0.29408</cdr:x>
      <cdr:y>0.41849</cdr:y>
    </cdr:from>
    <cdr:to>
      <cdr:x>0.34397</cdr:x>
      <cdr:y>0.49758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408052" y="2232098"/>
          <a:ext cx="407175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np_s</a:t>
          </a:r>
        </a:p>
      </cdr:txBody>
    </cdr:sp>
  </cdr:relSizeAnchor>
  <cdr:relSizeAnchor xmlns:cdr="http://schemas.openxmlformats.org/drawingml/2006/chartDrawing">
    <cdr:from>
      <cdr:x>0.32862</cdr:x>
      <cdr:y>0.51453</cdr:y>
    </cdr:from>
    <cdr:to>
      <cdr:x>0.37852</cdr:x>
      <cdr:y>0.59362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582557" y="2726522"/>
          <a:ext cx="407175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0.37084</cdr:x>
      <cdr:y>0.51265</cdr:y>
    </cdr:from>
    <cdr:to>
      <cdr:x>0.42074</cdr:x>
      <cdr:y>0.59174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795838" y="2716830"/>
          <a:ext cx="407175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52B2-862A-7040-AA91-9DE7BC85293A}">
  <dimension ref="A1:U18"/>
  <sheetViews>
    <sheetView zoomScale="89" zoomScaleNormal="130" workbookViewId="0">
      <selection activeCell="I48" sqref="I48"/>
    </sheetView>
  </sheetViews>
  <sheetFormatPr defaultColWidth="11" defaultRowHeight="15.75" x14ac:dyDescent="0.25"/>
  <sheetData>
    <row r="1" spans="1:21" ht="20.100000000000001" customHeight="1" thickBot="1" x14ac:dyDescent="0.3">
      <c r="A1" t="s">
        <v>5</v>
      </c>
      <c r="B1" t="s">
        <v>9</v>
      </c>
      <c r="C1" t="s">
        <v>1</v>
      </c>
      <c r="D1" t="s">
        <v>3</v>
      </c>
      <c r="E1" t="s">
        <v>4</v>
      </c>
      <c r="N1" s="10" t="s">
        <v>5</v>
      </c>
      <c r="O1" s="10" t="s">
        <v>10</v>
      </c>
      <c r="P1" s="4" t="s">
        <v>11</v>
      </c>
      <c r="Q1" s="5"/>
      <c r="R1" s="5"/>
      <c r="S1" s="5"/>
      <c r="T1" s="5"/>
      <c r="U1" s="6"/>
    </row>
    <row r="2" spans="1:21" ht="19.5" thickBot="1" x14ac:dyDescent="0.3">
      <c r="A2" t="s">
        <v>6</v>
      </c>
      <c r="B2">
        <v>-3.36</v>
      </c>
      <c r="C2">
        <v>-3.4</v>
      </c>
      <c r="D2">
        <v>-1.34</v>
      </c>
      <c r="E2">
        <v>-1.32</v>
      </c>
      <c r="I2">
        <f>I7/1500</f>
        <v>1.0577777777777776E-6</v>
      </c>
      <c r="J2">
        <f t="shared" ref="J2:L2" si="0">J7/1500</f>
        <v>8.0444444444444448E-7</v>
      </c>
      <c r="K2">
        <f t="shared" si="0"/>
        <v>5.0222222222222224E-7</v>
      </c>
      <c r="L2">
        <f t="shared" si="0"/>
        <v>4.3111111111111114E-7</v>
      </c>
      <c r="N2" s="11"/>
      <c r="O2" s="11"/>
      <c r="P2" s="1" t="s">
        <v>9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</row>
    <row r="3" spans="1:21" ht="19.5" thickBot="1" x14ac:dyDescent="0.3">
      <c r="A3" t="s">
        <v>7</v>
      </c>
      <c r="B3">
        <v>-2.2999999999999998</v>
      </c>
      <c r="C3">
        <v>-2.46</v>
      </c>
      <c r="D3">
        <v>-1.1599999999999999</v>
      </c>
      <c r="E3">
        <v>-1.08</v>
      </c>
      <c r="I3">
        <f t="shared" ref="I3:L3" si="1">I8/1500</f>
        <v>9.6000000000000013E-7</v>
      </c>
      <c r="J3">
        <f t="shared" si="1"/>
        <v>7.0666666666666664E-7</v>
      </c>
      <c r="K3">
        <f t="shared" si="1"/>
        <v>4.6666666666666666E-7</v>
      </c>
      <c r="L3">
        <f t="shared" si="1"/>
        <v>4.0888888888888892E-7</v>
      </c>
      <c r="N3" s="1" t="s">
        <v>12</v>
      </c>
      <c r="O3" s="1" t="s">
        <v>15</v>
      </c>
      <c r="P3" s="1">
        <v>2.38</v>
      </c>
      <c r="Q3" s="1">
        <v>1.83</v>
      </c>
      <c r="R3" s="1">
        <v>1.81</v>
      </c>
      <c r="S3" s="1">
        <v>1.61</v>
      </c>
      <c r="T3" s="2">
        <v>1.1299999999999999</v>
      </c>
      <c r="U3" s="2">
        <v>0.97</v>
      </c>
    </row>
    <row r="4" spans="1:21" ht="19.5" thickBot="1" x14ac:dyDescent="0.3">
      <c r="A4" t="s">
        <v>8</v>
      </c>
      <c r="B4">
        <v>-2.5</v>
      </c>
      <c r="C4">
        <v>-1.54</v>
      </c>
      <c r="D4">
        <v>-1.52</v>
      </c>
      <c r="E4">
        <v>-1.06</v>
      </c>
      <c r="I4">
        <f t="shared" ref="I4:L4" si="2">I9/1500</f>
        <v>5.8222222222222221E-7</v>
      </c>
      <c r="J4">
        <f t="shared" si="2"/>
        <v>5.3333333333333324E-7</v>
      </c>
      <c r="K4">
        <f t="shared" si="2"/>
        <v>5.6444444444444445E-7</v>
      </c>
      <c r="L4">
        <f t="shared" si="2"/>
        <v>3.3333333333333335E-7</v>
      </c>
      <c r="N4" s="1"/>
      <c r="O4" s="1" t="s">
        <v>16</v>
      </c>
      <c r="P4" s="1">
        <v>3.36</v>
      </c>
      <c r="Q4" s="1">
        <v>1.81</v>
      </c>
      <c r="R4" s="1">
        <v>1.8</v>
      </c>
      <c r="S4" s="1">
        <v>1.62</v>
      </c>
      <c r="T4" s="1">
        <v>1.1299999999999999</v>
      </c>
      <c r="U4" s="1">
        <v>0.97</v>
      </c>
    </row>
    <row r="5" spans="1:21" ht="19.5" thickBot="1" x14ac:dyDescent="0.3">
      <c r="N5" s="1" t="s">
        <v>13</v>
      </c>
      <c r="O5" s="1" t="s">
        <v>17</v>
      </c>
      <c r="P5" s="1">
        <v>2.16</v>
      </c>
      <c r="Q5" s="1">
        <v>1.65</v>
      </c>
      <c r="R5" s="1">
        <v>1.59</v>
      </c>
      <c r="S5" s="1">
        <v>1.38</v>
      </c>
      <c r="T5" s="1">
        <v>1.05</v>
      </c>
      <c r="U5" s="1">
        <v>0.92</v>
      </c>
    </row>
    <row r="6" spans="1:21" ht="19.5" thickBot="1" x14ac:dyDescent="0.3">
      <c r="A6" t="s">
        <v>5</v>
      </c>
      <c r="B6" t="s">
        <v>9</v>
      </c>
      <c r="C6" t="s">
        <v>1</v>
      </c>
      <c r="D6" t="s">
        <v>3</v>
      </c>
      <c r="E6" t="s">
        <v>4</v>
      </c>
      <c r="H6" s="3" t="s">
        <v>5</v>
      </c>
      <c r="I6" s="1" t="s">
        <v>9</v>
      </c>
      <c r="J6" s="1" t="s">
        <v>1</v>
      </c>
      <c r="K6" s="1" t="s">
        <v>3</v>
      </c>
      <c r="L6" s="1" t="s">
        <v>4</v>
      </c>
      <c r="N6" s="1"/>
      <c r="O6" s="1" t="s">
        <v>18</v>
      </c>
      <c r="P6" s="1">
        <v>1.64</v>
      </c>
      <c r="Q6" s="1">
        <v>1.61</v>
      </c>
      <c r="R6" s="1">
        <v>1.56</v>
      </c>
      <c r="S6" s="1">
        <v>1.37</v>
      </c>
      <c r="T6" s="1">
        <v>1.05</v>
      </c>
      <c r="U6" s="1">
        <v>0.92</v>
      </c>
    </row>
    <row r="7" spans="1:21" ht="19.5" thickBot="1" x14ac:dyDescent="0.3">
      <c r="A7" t="s">
        <v>6</v>
      </c>
      <c r="B7">
        <f>-B2</f>
        <v>3.36</v>
      </c>
      <c r="C7">
        <f t="shared" ref="C7:E7" si="3">-C2</f>
        <v>3.4</v>
      </c>
      <c r="D7">
        <f t="shared" si="3"/>
        <v>1.34</v>
      </c>
      <c r="E7">
        <f t="shared" si="3"/>
        <v>1.32</v>
      </c>
      <c r="H7" t="s">
        <v>6</v>
      </c>
      <c r="I7" s="1">
        <v>1.5866666666666666E-3</v>
      </c>
      <c r="J7" s="1">
        <v>1.2066666666666667E-3</v>
      </c>
      <c r="K7" s="2">
        <v>7.5333333333333329E-4</v>
      </c>
      <c r="L7" s="2">
        <v>6.466666666666667E-4</v>
      </c>
      <c r="N7" s="1" t="s">
        <v>14</v>
      </c>
      <c r="O7" s="1" t="s">
        <v>19</v>
      </c>
      <c r="P7" s="1">
        <v>1.31</v>
      </c>
      <c r="Q7" s="1">
        <v>1.29</v>
      </c>
      <c r="R7" s="1">
        <v>1.2</v>
      </c>
      <c r="S7" s="1">
        <v>1.35</v>
      </c>
      <c r="T7" s="1">
        <v>1.27</v>
      </c>
      <c r="U7" s="2">
        <v>0.75</v>
      </c>
    </row>
    <row r="8" spans="1:21" ht="19.5" thickBot="1" x14ac:dyDescent="0.3">
      <c r="A8" t="s">
        <v>7</v>
      </c>
      <c r="B8">
        <f t="shared" ref="B8:E9" si="4">-B3</f>
        <v>2.2999999999999998</v>
      </c>
      <c r="C8">
        <f t="shared" si="4"/>
        <v>2.46</v>
      </c>
      <c r="D8">
        <f t="shared" si="4"/>
        <v>1.1599999999999999</v>
      </c>
      <c r="E8">
        <f t="shared" si="4"/>
        <v>1.08</v>
      </c>
      <c r="H8" t="s">
        <v>7</v>
      </c>
      <c r="I8" s="1">
        <v>1.4400000000000001E-3</v>
      </c>
      <c r="J8" s="1">
        <v>1.06E-3</v>
      </c>
      <c r="K8" s="1">
        <v>6.9999999999999999E-4</v>
      </c>
      <c r="L8" s="1">
        <v>6.1333333333333335E-4</v>
      </c>
      <c r="N8" s="1"/>
      <c r="O8" s="1" t="s">
        <v>20</v>
      </c>
      <c r="P8" s="1">
        <v>1.44</v>
      </c>
      <c r="Q8" s="1">
        <v>1.29</v>
      </c>
      <c r="R8" s="1">
        <v>1.2</v>
      </c>
      <c r="S8" s="1">
        <v>1.36</v>
      </c>
      <c r="T8" s="1">
        <v>1.27</v>
      </c>
      <c r="U8" s="1">
        <v>0.75</v>
      </c>
    </row>
    <row r="9" spans="1:21" ht="19.5" thickBot="1" x14ac:dyDescent="0.3">
      <c r="A9" t="s">
        <v>8</v>
      </c>
      <c r="B9">
        <v>1.5</v>
      </c>
      <c r="C9">
        <f t="shared" si="4"/>
        <v>1.54</v>
      </c>
      <c r="D9">
        <f t="shared" si="4"/>
        <v>1.52</v>
      </c>
      <c r="E9">
        <f t="shared" si="4"/>
        <v>1.06</v>
      </c>
      <c r="H9" t="s">
        <v>8</v>
      </c>
      <c r="I9" s="1">
        <v>8.7333333333333338E-4</v>
      </c>
      <c r="J9" s="1">
        <v>7.9999999999999993E-4</v>
      </c>
      <c r="K9" s="1">
        <v>8.4666666666666668E-4</v>
      </c>
      <c r="L9" s="2">
        <v>5.0000000000000001E-4</v>
      </c>
    </row>
    <row r="10" spans="1:21" x14ac:dyDescent="0.25">
      <c r="A10" t="s">
        <v>36</v>
      </c>
      <c r="B10">
        <v>2.79</v>
      </c>
      <c r="C10">
        <v>2.79</v>
      </c>
      <c r="D10">
        <v>0.8</v>
      </c>
      <c r="H10" t="s">
        <v>35</v>
      </c>
      <c r="I10">
        <v>1.655117E-3</v>
      </c>
      <c r="J10">
        <v>1.6930199999999999E-3</v>
      </c>
      <c r="K10">
        <v>4.8708399999999999E-4</v>
      </c>
    </row>
    <row r="12" spans="1:21" x14ac:dyDescent="0.25">
      <c r="A12" t="s">
        <v>5</v>
      </c>
      <c r="B12" t="s">
        <v>6</v>
      </c>
      <c r="C12" t="s">
        <v>7</v>
      </c>
      <c r="D12" t="s">
        <v>8</v>
      </c>
    </row>
    <row r="13" spans="1:21" x14ac:dyDescent="0.25">
      <c r="A13" t="s">
        <v>9</v>
      </c>
      <c r="B13">
        <v>3.36</v>
      </c>
      <c r="C13">
        <v>2.2999999999999998</v>
      </c>
      <c r="D13">
        <v>2.5</v>
      </c>
    </row>
    <row r="14" spans="1:21" x14ac:dyDescent="0.25">
      <c r="A14" t="s">
        <v>0</v>
      </c>
      <c r="B14">
        <v>3.76</v>
      </c>
      <c r="C14">
        <v>2.86</v>
      </c>
      <c r="D14">
        <v>2.66</v>
      </c>
    </row>
    <row r="15" spans="1:21" x14ac:dyDescent="0.25">
      <c r="A15" t="s">
        <v>1</v>
      </c>
      <c r="B15">
        <v>3.4</v>
      </c>
      <c r="C15">
        <v>2.46</v>
      </c>
      <c r="D15">
        <v>1.54</v>
      </c>
    </row>
    <row r="16" spans="1:21" x14ac:dyDescent="0.25">
      <c r="A16" t="s">
        <v>2</v>
      </c>
      <c r="B16">
        <v>1.76</v>
      </c>
      <c r="C16">
        <v>1.5</v>
      </c>
      <c r="D16">
        <v>1.62</v>
      </c>
    </row>
    <row r="17" spans="1:4" x14ac:dyDescent="0.25">
      <c r="A17" t="s">
        <v>3</v>
      </c>
      <c r="B17">
        <v>1.34</v>
      </c>
      <c r="C17">
        <v>1.1599999999999999</v>
      </c>
      <c r="D17">
        <v>1.52</v>
      </c>
    </row>
    <row r="18" spans="1:4" x14ac:dyDescent="0.25">
      <c r="A18" t="s">
        <v>4</v>
      </c>
      <c r="B18">
        <v>1.32</v>
      </c>
      <c r="C18">
        <v>1.08</v>
      </c>
      <c r="D18">
        <v>1.06</v>
      </c>
    </row>
  </sheetData>
  <mergeCells count="2">
    <mergeCell ref="N1:N2"/>
    <mergeCell ref="O1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732-80BD-CD4B-915E-905C3F10AFF4}">
  <dimension ref="A1:N18"/>
  <sheetViews>
    <sheetView zoomScale="89" zoomScaleNormal="130" workbookViewId="0">
      <selection activeCell="C38" sqref="C38"/>
    </sheetView>
  </sheetViews>
  <sheetFormatPr defaultColWidth="11" defaultRowHeight="15.75" x14ac:dyDescent="0.25"/>
  <sheetData>
    <row r="1" spans="1:14" ht="19.5" thickBot="1" x14ac:dyDescent="0.3">
      <c r="A1" t="s">
        <v>5</v>
      </c>
      <c r="B1" t="s">
        <v>9</v>
      </c>
      <c r="C1" t="s">
        <v>1</v>
      </c>
      <c r="D1" t="s">
        <v>3</v>
      </c>
      <c r="E1" t="s">
        <v>4</v>
      </c>
      <c r="G1" s="10" t="s">
        <v>5</v>
      </c>
      <c r="H1" s="10" t="s">
        <v>10</v>
      </c>
      <c r="I1" s="12" t="s">
        <v>11</v>
      </c>
      <c r="J1" s="13"/>
      <c r="K1" s="13"/>
      <c r="L1" s="13"/>
      <c r="M1" s="13"/>
      <c r="N1" s="14"/>
    </row>
    <row r="2" spans="1:14" ht="19.5" thickBot="1" x14ac:dyDescent="0.3">
      <c r="A2" t="s">
        <v>6</v>
      </c>
      <c r="B2">
        <v>-3.36</v>
      </c>
      <c r="C2">
        <v>-3.4</v>
      </c>
      <c r="D2">
        <v>-1.34</v>
      </c>
      <c r="E2">
        <v>-1.32</v>
      </c>
      <c r="G2" s="11"/>
      <c r="H2" s="11"/>
      <c r="I2" s="1" t="s">
        <v>9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</row>
    <row r="3" spans="1:14" ht="19.5" thickBot="1" x14ac:dyDescent="0.3">
      <c r="A3" t="s">
        <v>7</v>
      </c>
      <c r="B3">
        <v>-2.2999999999999998</v>
      </c>
      <c r="C3">
        <v>-2.46</v>
      </c>
      <c r="D3">
        <v>-1.1599999999999999</v>
      </c>
      <c r="E3">
        <v>-1.08</v>
      </c>
      <c r="G3" s="1" t="s">
        <v>12</v>
      </c>
      <c r="H3" s="1" t="s">
        <v>15</v>
      </c>
      <c r="I3" s="1">
        <v>2.38</v>
      </c>
      <c r="J3" s="1">
        <v>1.83</v>
      </c>
      <c r="K3" s="1">
        <v>1.81</v>
      </c>
      <c r="L3" s="1">
        <v>1.61</v>
      </c>
      <c r="M3" s="2">
        <v>1.1299999999999999</v>
      </c>
      <c r="N3" s="2">
        <v>0.97</v>
      </c>
    </row>
    <row r="4" spans="1:14" ht="19.5" thickBot="1" x14ac:dyDescent="0.3">
      <c r="A4" t="s">
        <v>8</v>
      </c>
      <c r="B4">
        <v>-2.5</v>
      </c>
      <c r="C4">
        <v>-1.54</v>
      </c>
      <c r="D4">
        <v>-1.52</v>
      </c>
      <c r="E4">
        <v>-1.06</v>
      </c>
      <c r="G4" s="1"/>
      <c r="H4" s="1" t="s">
        <v>16</v>
      </c>
      <c r="I4" s="1">
        <v>3.36</v>
      </c>
      <c r="J4" s="1">
        <v>1.81</v>
      </c>
      <c r="K4" s="1">
        <v>1.8</v>
      </c>
      <c r="L4" s="1">
        <v>1.62</v>
      </c>
      <c r="M4" s="1">
        <v>1.1299999999999999</v>
      </c>
      <c r="N4" s="1">
        <v>0.97</v>
      </c>
    </row>
    <row r="5" spans="1:14" ht="19.5" thickBot="1" x14ac:dyDescent="0.3">
      <c r="G5" s="1" t="s">
        <v>13</v>
      </c>
      <c r="H5" s="1" t="s">
        <v>17</v>
      </c>
      <c r="I5" s="1">
        <v>2.16</v>
      </c>
      <c r="J5" s="1">
        <v>1.65</v>
      </c>
      <c r="K5" s="1">
        <v>1.59</v>
      </c>
      <c r="L5" s="1">
        <v>1.38</v>
      </c>
      <c r="M5" s="1">
        <v>1.05</v>
      </c>
      <c r="N5" s="1">
        <v>0.92</v>
      </c>
    </row>
    <row r="6" spans="1:14" ht="19.5" thickBot="1" x14ac:dyDescent="0.3">
      <c r="A6" t="s">
        <v>5</v>
      </c>
      <c r="B6" t="s">
        <v>9</v>
      </c>
      <c r="C6" t="s">
        <v>1</v>
      </c>
      <c r="D6" t="s">
        <v>3</v>
      </c>
      <c r="E6" t="s">
        <v>4</v>
      </c>
      <c r="G6" s="1"/>
      <c r="H6" s="1" t="s">
        <v>18</v>
      </c>
      <c r="I6" s="1">
        <v>1.64</v>
      </c>
      <c r="J6" s="1">
        <v>1.61</v>
      </c>
      <c r="K6" s="1">
        <v>1.56</v>
      </c>
      <c r="L6" s="1">
        <v>1.37</v>
      </c>
      <c r="M6" s="1">
        <v>1.05</v>
      </c>
      <c r="N6" s="1">
        <v>0.92</v>
      </c>
    </row>
    <row r="7" spans="1:14" ht="19.5" thickBot="1" x14ac:dyDescent="0.3">
      <c r="A7" t="s">
        <v>6</v>
      </c>
      <c r="B7">
        <f>-B2</f>
        <v>3.36</v>
      </c>
      <c r="C7">
        <f t="shared" ref="C7:E7" si="0">-C2</f>
        <v>3.4</v>
      </c>
      <c r="D7">
        <f t="shared" si="0"/>
        <v>1.34</v>
      </c>
      <c r="E7">
        <f t="shared" si="0"/>
        <v>1.32</v>
      </c>
      <c r="G7" s="1" t="s">
        <v>14</v>
      </c>
      <c r="H7" s="1" t="s">
        <v>19</v>
      </c>
      <c r="I7" s="1">
        <v>1.31</v>
      </c>
      <c r="J7" s="1">
        <v>1.29</v>
      </c>
      <c r="K7" s="1">
        <v>1.2</v>
      </c>
      <c r="L7" s="1">
        <v>1.35</v>
      </c>
      <c r="M7" s="1">
        <v>1.27</v>
      </c>
      <c r="N7" s="2">
        <v>0.75</v>
      </c>
    </row>
    <row r="8" spans="1:14" ht="19.5" thickBot="1" x14ac:dyDescent="0.3">
      <c r="A8" t="s">
        <v>7</v>
      </c>
      <c r="B8">
        <f t="shared" ref="B8:E9" si="1">-B3</f>
        <v>2.2999999999999998</v>
      </c>
      <c r="C8">
        <f t="shared" si="1"/>
        <v>2.46</v>
      </c>
      <c r="D8">
        <f t="shared" si="1"/>
        <v>1.1599999999999999</v>
      </c>
      <c r="E8">
        <f t="shared" si="1"/>
        <v>1.08</v>
      </c>
      <c r="G8" s="1"/>
      <c r="H8" s="1" t="s">
        <v>20</v>
      </c>
      <c r="I8" s="1">
        <v>1.44</v>
      </c>
      <c r="J8" s="1">
        <v>1.29</v>
      </c>
      <c r="K8" s="1">
        <v>1.2</v>
      </c>
      <c r="L8" s="1">
        <v>1.36</v>
      </c>
      <c r="M8" s="1">
        <v>1.27</v>
      </c>
      <c r="N8" s="1">
        <v>0.75</v>
      </c>
    </row>
    <row r="9" spans="1:14" ht="16.5" thickBot="1" x14ac:dyDescent="0.3">
      <c r="A9" t="s">
        <v>8</v>
      </c>
      <c r="B9">
        <v>1.5</v>
      </c>
      <c r="C9">
        <f t="shared" si="1"/>
        <v>1.54</v>
      </c>
      <c r="D9">
        <f t="shared" si="1"/>
        <v>1.52</v>
      </c>
      <c r="E9">
        <f t="shared" si="1"/>
        <v>1.06</v>
      </c>
    </row>
    <row r="10" spans="1:14" ht="19.5" thickBot="1" x14ac:dyDescent="0.3">
      <c r="H10" s="3" t="s">
        <v>10</v>
      </c>
      <c r="I10" s="1" t="s">
        <v>9</v>
      </c>
      <c r="J10" s="1" t="s">
        <v>0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1:14" ht="19.5" thickBot="1" x14ac:dyDescent="0.3">
      <c r="H11" s="1" t="s">
        <v>15</v>
      </c>
      <c r="I11" s="1">
        <v>2.38</v>
      </c>
      <c r="J11" s="1">
        <v>1.83</v>
      </c>
      <c r="K11" s="1">
        <v>1.81</v>
      </c>
      <c r="L11" s="1">
        <v>1.61</v>
      </c>
      <c r="M11" s="2">
        <v>1.1299999999999999</v>
      </c>
      <c r="N11" s="2">
        <v>0.97</v>
      </c>
    </row>
    <row r="12" spans="1:14" ht="19.5" thickBot="1" x14ac:dyDescent="0.3">
      <c r="A12" t="s">
        <v>5</v>
      </c>
      <c r="B12" t="s">
        <v>6</v>
      </c>
      <c r="C12" t="s">
        <v>7</v>
      </c>
      <c r="D12" t="s">
        <v>8</v>
      </c>
      <c r="H12" s="1" t="s">
        <v>16</v>
      </c>
      <c r="I12" s="1">
        <v>3.36</v>
      </c>
      <c r="J12" s="1">
        <v>1.81</v>
      </c>
      <c r="K12" s="1">
        <v>1.8</v>
      </c>
      <c r="L12" s="1">
        <v>1.62</v>
      </c>
      <c r="M12" s="1">
        <v>1.1299999999999999</v>
      </c>
      <c r="N12" s="1">
        <v>0.97</v>
      </c>
    </row>
    <row r="13" spans="1:14" ht="19.5" thickBot="1" x14ac:dyDescent="0.3">
      <c r="A13" t="s">
        <v>9</v>
      </c>
      <c r="B13">
        <v>3.36</v>
      </c>
      <c r="C13">
        <v>2.2999999999999998</v>
      </c>
      <c r="D13">
        <v>2.5</v>
      </c>
      <c r="H13" s="1" t="s">
        <v>17</v>
      </c>
      <c r="I13" s="1">
        <v>2.16</v>
      </c>
      <c r="J13" s="1">
        <v>1.65</v>
      </c>
      <c r="K13" s="1">
        <v>1.59</v>
      </c>
      <c r="L13" s="1">
        <v>1.38</v>
      </c>
      <c r="M13" s="1">
        <v>1.05</v>
      </c>
      <c r="N13" s="1">
        <v>0.92</v>
      </c>
    </row>
    <row r="14" spans="1:14" ht="19.5" thickBot="1" x14ac:dyDescent="0.3">
      <c r="A14" t="s">
        <v>0</v>
      </c>
      <c r="B14">
        <v>3.76</v>
      </c>
      <c r="C14">
        <v>2.86</v>
      </c>
      <c r="D14">
        <v>2.66</v>
      </c>
      <c r="H14" s="1" t="s">
        <v>18</v>
      </c>
      <c r="I14" s="1">
        <v>1.64</v>
      </c>
      <c r="J14" s="1">
        <v>1.61</v>
      </c>
      <c r="K14" s="1">
        <v>1.56</v>
      </c>
      <c r="L14" s="1">
        <v>1.37</v>
      </c>
      <c r="M14" s="1">
        <v>1.05</v>
      </c>
      <c r="N14" s="1">
        <v>0.92</v>
      </c>
    </row>
    <row r="15" spans="1:14" ht="19.5" thickBot="1" x14ac:dyDescent="0.3">
      <c r="A15" t="s">
        <v>1</v>
      </c>
      <c r="B15">
        <v>3.4</v>
      </c>
      <c r="C15">
        <v>2.46</v>
      </c>
      <c r="D15">
        <v>1.54</v>
      </c>
      <c r="H15" s="1" t="s">
        <v>19</v>
      </c>
      <c r="I15" s="1">
        <v>1.31</v>
      </c>
      <c r="J15" s="1">
        <v>1.29</v>
      </c>
      <c r="K15" s="1">
        <v>1.2</v>
      </c>
      <c r="L15" s="1">
        <v>1.35</v>
      </c>
      <c r="M15" s="1">
        <v>1.27</v>
      </c>
      <c r="N15" s="2">
        <v>0.75</v>
      </c>
    </row>
    <row r="16" spans="1:14" ht="19.5" thickBot="1" x14ac:dyDescent="0.3">
      <c r="A16" t="s">
        <v>2</v>
      </c>
      <c r="B16">
        <v>1.76</v>
      </c>
      <c r="C16">
        <v>1.5</v>
      </c>
      <c r="D16">
        <v>1.62</v>
      </c>
      <c r="H16" s="1" t="s">
        <v>20</v>
      </c>
      <c r="I16" s="1">
        <v>1.44</v>
      </c>
      <c r="J16" s="1">
        <v>1.29</v>
      </c>
      <c r="K16" s="1">
        <v>1.2</v>
      </c>
      <c r="L16" s="1">
        <v>1.36</v>
      </c>
      <c r="M16" s="1">
        <v>1.27</v>
      </c>
      <c r="N16" s="1">
        <v>0.75</v>
      </c>
    </row>
    <row r="17" spans="1:4" x14ac:dyDescent="0.25">
      <c r="A17" t="s">
        <v>3</v>
      </c>
      <c r="B17">
        <v>1.34</v>
      </c>
      <c r="C17">
        <v>1.1599999999999999</v>
      </c>
      <c r="D17">
        <v>1.52</v>
      </c>
    </row>
    <row r="18" spans="1:4" x14ac:dyDescent="0.25">
      <c r="A18" t="s">
        <v>4</v>
      </c>
      <c r="B18">
        <v>1.32</v>
      </c>
      <c r="C18">
        <v>1.08</v>
      </c>
      <c r="D18">
        <v>1.06</v>
      </c>
    </row>
  </sheetData>
  <mergeCells count="3">
    <mergeCell ref="G1:G2"/>
    <mergeCell ref="H1:H2"/>
    <mergeCell ref="I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F670-B661-7B4A-B21B-E309208F3EB1}">
  <dimension ref="A1:AE60"/>
  <sheetViews>
    <sheetView zoomScale="108" workbookViewId="0">
      <selection activeCell="K28" sqref="K28"/>
    </sheetView>
  </sheetViews>
  <sheetFormatPr defaultColWidth="11" defaultRowHeight="15.75" x14ac:dyDescent="0.25"/>
  <cols>
    <col min="3" max="3" width="15.125" bestFit="1" customWidth="1"/>
    <col min="4" max="4" width="15.125" customWidth="1"/>
  </cols>
  <sheetData>
    <row r="1" spans="1:31" x14ac:dyDescent="0.25">
      <c r="A1" t="s">
        <v>5</v>
      </c>
      <c r="B1" t="s">
        <v>10</v>
      </c>
      <c r="C1" t="s">
        <v>11</v>
      </c>
      <c r="I1" t="s">
        <v>5</v>
      </c>
      <c r="J1" t="s">
        <v>10</v>
      </c>
      <c r="K1" t="s">
        <v>11</v>
      </c>
    </row>
    <row r="2" spans="1:31" ht="20.100000000000001" customHeight="1" x14ac:dyDescent="0.25">
      <c r="C2" t="s">
        <v>21</v>
      </c>
      <c r="E2" t="s">
        <v>1</v>
      </c>
      <c r="F2" t="s">
        <v>3</v>
      </c>
      <c r="G2" t="s">
        <v>4</v>
      </c>
      <c r="K2" t="s">
        <v>21</v>
      </c>
      <c r="L2" t="s">
        <v>5</v>
      </c>
      <c r="M2" t="s">
        <v>9</v>
      </c>
      <c r="N2" t="s">
        <v>1</v>
      </c>
      <c r="O2" t="s">
        <v>3</v>
      </c>
      <c r="P2" t="s">
        <v>4</v>
      </c>
    </row>
    <row r="3" spans="1:31" x14ac:dyDescent="0.25">
      <c r="A3" t="s">
        <v>12</v>
      </c>
      <c r="B3" t="s">
        <v>22</v>
      </c>
      <c r="C3" t="s">
        <v>23</v>
      </c>
      <c r="D3">
        <v>2.36</v>
      </c>
      <c r="E3">
        <v>1.81</v>
      </c>
      <c r="F3">
        <v>1.1299999999999999</v>
      </c>
      <c r="G3">
        <v>0.97</v>
      </c>
      <c r="I3" t="s">
        <v>12</v>
      </c>
      <c r="J3" t="s">
        <v>22</v>
      </c>
      <c r="K3" t="s">
        <v>23</v>
      </c>
      <c r="L3" t="s">
        <v>12</v>
      </c>
      <c r="M3">
        <v>2.36</v>
      </c>
      <c r="N3">
        <v>1.81</v>
      </c>
      <c r="O3">
        <v>1.1299999999999999</v>
      </c>
      <c r="P3">
        <v>0.97</v>
      </c>
    </row>
    <row r="4" spans="1:31" x14ac:dyDescent="0.25">
      <c r="B4" t="s">
        <v>24</v>
      </c>
      <c r="C4">
        <v>3.36</v>
      </c>
      <c r="D4">
        <v>3.36</v>
      </c>
      <c r="E4">
        <v>1.8</v>
      </c>
      <c r="F4">
        <v>1.1299999999999999</v>
      </c>
      <c r="G4">
        <v>0.97</v>
      </c>
      <c r="I4" t="s">
        <v>13</v>
      </c>
      <c r="J4" t="s">
        <v>22</v>
      </c>
      <c r="K4" t="s">
        <v>25</v>
      </c>
      <c r="L4" t="s">
        <v>13</v>
      </c>
      <c r="M4">
        <v>2.2200000000000002</v>
      </c>
      <c r="N4">
        <v>1.59</v>
      </c>
      <c r="O4">
        <v>1.05</v>
      </c>
      <c r="P4">
        <v>0.92</v>
      </c>
    </row>
    <row r="5" spans="1:31" x14ac:dyDescent="0.25">
      <c r="A5" t="s">
        <v>13</v>
      </c>
      <c r="B5" t="s">
        <v>22</v>
      </c>
      <c r="C5" t="s">
        <v>25</v>
      </c>
      <c r="D5">
        <v>2.2200000000000002</v>
      </c>
      <c r="E5">
        <v>1.59</v>
      </c>
      <c r="F5">
        <v>1.05</v>
      </c>
      <c r="G5">
        <v>0.92</v>
      </c>
      <c r="I5" t="s">
        <v>14</v>
      </c>
      <c r="J5" t="s">
        <v>22</v>
      </c>
      <c r="K5" t="s">
        <v>26</v>
      </c>
      <c r="L5" t="s">
        <v>14</v>
      </c>
      <c r="M5">
        <v>1.4</v>
      </c>
      <c r="N5">
        <v>1.2</v>
      </c>
      <c r="O5">
        <v>1.27</v>
      </c>
      <c r="P5">
        <v>0.75</v>
      </c>
    </row>
    <row r="6" spans="1:31" x14ac:dyDescent="0.25">
      <c r="B6" t="s">
        <v>24</v>
      </c>
      <c r="C6">
        <v>1.64</v>
      </c>
      <c r="D6">
        <v>1.64</v>
      </c>
      <c r="E6">
        <v>1.56</v>
      </c>
      <c r="F6">
        <v>1.05</v>
      </c>
      <c r="G6">
        <v>0.92</v>
      </c>
    </row>
    <row r="7" spans="1:31" x14ac:dyDescent="0.25">
      <c r="A7" t="s">
        <v>14</v>
      </c>
      <c r="B7" t="s">
        <v>22</v>
      </c>
      <c r="C7" t="s">
        <v>26</v>
      </c>
      <c r="D7">
        <v>1.4</v>
      </c>
      <c r="E7">
        <v>1.2</v>
      </c>
      <c r="F7">
        <v>1.27</v>
      </c>
      <c r="G7">
        <v>0.75</v>
      </c>
      <c r="M7" t="s">
        <v>12</v>
      </c>
      <c r="N7" t="s">
        <v>13</v>
      </c>
      <c r="O7" t="s">
        <v>14</v>
      </c>
    </row>
    <row r="8" spans="1:31" x14ac:dyDescent="0.25">
      <c r="B8" t="s">
        <v>24</v>
      </c>
      <c r="C8">
        <v>1.44</v>
      </c>
      <c r="D8">
        <v>1.44</v>
      </c>
      <c r="E8">
        <v>1.2</v>
      </c>
      <c r="F8">
        <v>1.27</v>
      </c>
      <c r="G8">
        <v>0.75</v>
      </c>
      <c r="L8" t="s">
        <v>9</v>
      </c>
      <c r="M8">
        <v>2.36</v>
      </c>
      <c r="N8">
        <v>2.2200000000000002</v>
      </c>
      <c r="O8">
        <v>1.4</v>
      </c>
    </row>
    <row r="9" spans="1:31" x14ac:dyDescent="0.25">
      <c r="L9" t="s">
        <v>1</v>
      </c>
      <c r="M9">
        <v>1.81</v>
      </c>
      <c r="N9">
        <v>1.59</v>
      </c>
      <c r="O9">
        <v>1.2</v>
      </c>
    </row>
    <row r="10" spans="1:31" x14ac:dyDescent="0.25">
      <c r="A10" t="s">
        <v>28</v>
      </c>
      <c r="D10">
        <v>-2.88171E-3</v>
      </c>
      <c r="E10">
        <v>2.17396E-3</v>
      </c>
      <c r="F10">
        <v>-1.3741599999999999E-3</v>
      </c>
      <c r="G10">
        <v>-1.1703600000000001E-3</v>
      </c>
      <c r="L10" t="s">
        <v>3</v>
      </c>
      <c r="M10">
        <v>1.1299999999999999</v>
      </c>
      <c r="N10">
        <v>1.05</v>
      </c>
      <c r="O10">
        <v>1.27</v>
      </c>
    </row>
    <row r="11" spans="1:31" x14ac:dyDescent="0.25">
      <c r="A11" t="s">
        <v>29</v>
      </c>
      <c r="D11">
        <f>0.0044*-4.5</f>
        <v>-1.9800000000000002E-2</v>
      </c>
      <c r="E11">
        <f t="shared" ref="E11:G11" si="0">0.0044*-4.5</f>
        <v>-1.9800000000000002E-2</v>
      </c>
      <c r="F11">
        <f t="shared" si="0"/>
        <v>-1.9800000000000002E-2</v>
      </c>
      <c r="G11">
        <f t="shared" si="0"/>
        <v>-1.9800000000000002E-2</v>
      </c>
      <c r="L11" t="s">
        <v>4</v>
      </c>
      <c r="M11">
        <v>0.97</v>
      </c>
      <c r="N11">
        <v>0.92</v>
      </c>
      <c r="O11">
        <v>0.75</v>
      </c>
    </row>
    <row r="12" spans="1:31" x14ac:dyDescent="0.25">
      <c r="A12" t="s">
        <v>30</v>
      </c>
      <c r="D12">
        <f>-(D11-D10)</f>
        <v>1.6918290000000002E-2</v>
      </c>
      <c r="E12">
        <f t="shared" ref="E12:G12" si="1">-(E11-E10)</f>
        <v>2.1973960000000001E-2</v>
      </c>
      <c r="F12">
        <f t="shared" si="1"/>
        <v>1.8425840000000002E-2</v>
      </c>
      <c r="G12">
        <f t="shared" si="1"/>
        <v>1.8629640000000003E-2</v>
      </c>
    </row>
    <row r="13" spans="1:31" x14ac:dyDescent="0.25">
      <c r="A13" t="s">
        <v>27</v>
      </c>
      <c r="D13">
        <f>100*15</f>
        <v>1500</v>
      </c>
      <c r="E13">
        <f t="shared" ref="E13:O13" si="2">100*15</f>
        <v>1500</v>
      </c>
      <c r="F13">
        <f t="shared" si="2"/>
        <v>1500</v>
      </c>
      <c r="G13">
        <f t="shared" si="2"/>
        <v>1500</v>
      </c>
      <c r="H13">
        <f t="shared" si="2"/>
        <v>1500</v>
      </c>
      <c r="I13">
        <f t="shared" si="2"/>
        <v>1500</v>
      </c>
      <c r="J13">
        <f t="shared" si="2"/>
        <v>1500</v>
      </c>
      <c r="K13">
        <f t="shared" si="2"/>
        <v>1500</v>
      </c>
      <c r="L13">
        <f t="shared" si="2"/>
        <v>1500</v>
      </c>
      <c r="M13">
        <f t="shared" si="2"/>
        <v>1500</v>
      </c>
      <c r="N13">
        <f t="shared" si="2"/>
        <v>1500</v>
      </c>
      <c r="O13">
        <f t="shared" si="2"/>
        <v>1500</v>
      </c>
      <c r="P13" s="9">
        <f>PI()*(15/2)^2</f>
        <v>176.71458676442586</v>
      </c>
      <c r="Q13" s="9">
        <f t="shared" ref="Q13:R13" si="3">PI()*(15/2)^2</f>
        <v>176.71458676442586</v>
      </c>
      <c r="R13" s="9">
        <f t="shared" si="3"/>
        <v>176.71458676442586</v>
      </c>
      <c r="S13" s="9"/>
    </row>
    <row r="14" spans="1:31" x14ac:dyDescent="0.25">
      <c r="A14" t="s">
        <v>32</v>
      </c>
      <c r="D14">
        <v>0.55000000000000004</v>
      </c>
      <c r="E14">
        <v>0.55000000000000004</v>
      </c>
      <c r="F14">
        <v>0.55000000000000004</v>
      </c>
      <c r="G14">
        <v>0.55000000000000004</v>
      </c>
      <c r="H14">
        <v>0.49</v>
      </c>
      <c r="I14">
        <v>0.49</v>
      </c>
      <c r="J14">
        <v>0.49</v>
      </c>
      <c r="K14">
        <v>0.49</v>
      </c>
      <c r="L14">
        <v>0.53</v>
      </c>
      <c r="M14">
        <v>0.53</v>
      </c>
      <c r="N14">
        <v>0.53</v>
      </c>
      <c r="O14">
        <v>0.53</v>
      </c>
      <c r="P14">
        <v>0.57999999999999996</v>
      </c>
      <c r="Q14">
        <v>0.57999999999999996</v>
      </c>
      <c r="R14">
        <v>0.57999999999999996</v>
      </c>
      <c r="T14" t="s">
        <v>33</v>
      </c>
      <c r="U14" t="s">
        <v>34</v>
      </c>
    </row>
    <row r="15" spans="1:31" x14ac:dyDescent="0.25">
      <c r="A15" t="s">
        <v>31</v>
      </c>
      <c r="D15">
        <f>D13*D12*D14</f>
        <v>13.957589250000003</v>
      </c>
      <c r="E15">
        <f t="shared" ref="E15:G15" si="4">E13*E12*E14</f>
        <v>18.128517000000002</v>
      </c>
      <c r="F15">
        <f t="shared" si="4"/>
        <v>15.201318000000004</v>
      </c>
      <c r="G15">
        <f t="shared" si="4"/>
        <v>15.369453000000004</v>
      </c>
      <c r="T15">
        <v>0</v>
      </c>
      <c r="U15">
        <f>0.0055*EXP(1499.2*T15)</f>
        <v>5.4999999999999997E-3</v>
      </c>
      <c r="AB15">
        <v>7.27E-4</v>
      </c>
      <c r="AC15">
        <v>0.1</v>
      </c>
      <c r="AD15">
        <v>5.9299999999999999E-4</v>
      </c>
      <c r="AE15">
        <v>0</v>
      </c>
    </row>
    <row r="16" spans="1:31" x14ac:dyDescent="0.25">
      <c r="T16">
        <v>1E-4</v>
      </c>
      <c r="U16">
        <f t="shared" ref="U16:U60" si="5">0.0055*EXP(1499.2*T16)</f>
        <v>6.3895771483864945E-3</v>
      </c>
      <c r="AB16">
        <v>1.4430000000000001E-3</v>
      </c>
      <c r="AC16">
        <v>0.24</v>
      </c>
      <c r="AD16">
        <v>2.7399999999999999E-4</v>
      </c>
      <c r="AE16">
        <v>0</v>
      </c>
    </row>
    <row r="17" spans="4:31" x14ac:dyDescent="0.25">
      <c r="T17">
        <v>2.0000000000000001E-4</v>
      </c>
      <c r="U17">
        <f t="shared" si="5"/>
        <v>7.4230356609423422E-3</v>
      </c>
      <c r="AB17">
        <v>2.9150000000000001E-3</v>
      </c>
      <c r="AC17">
        <v>0.74</v>
      </c>
      <c r="AD17">
        <v>6.6600000000000003E-4</v>
      </c>
      <c r="AE17">
        <v>0</v>
      </c>
    </row>
    <row r="18" spans="4:31" x14ac:dyDescent="0.25">
      <c r="T18">
        <v>2.9999999999999997E-4</v>
      </c>
      <c r="U18">
        <f t="shared" si="5"/>
        <v>8.6236470965118574E-3</v>
      </c>
      <c r="AB18">
        <v>3.434E-3</v>
      </c>
      <c r="AC18">
        <v>1.5</v>
      </c>
      <c r="AD18">
        <v>5.8200000000000005E-4</v>
      </c>
      <c r="AE18">
        <v>0</v>
      </c>
    </row>
    <row r="19" spans="4:31" x14ac:dyDescent="0.25">
      <c r="D19" s="7"/>
      <c r="T19">
        <v>4.0000000000000002E-4</v>
      </c>
      <c r="U19">
        <f t="shared" si="5"/>
        <v>1.0018446986113039E-2</v>
      </c>
      <c r="AB19">
        <v>3.5300000000000002E-3</v>
      </c>
      <c r="AC19">
        <v>2.5</v>
      </c>
      <c r="AD19">
        <v>3.6999999999999999E-4</v>
      </c>
      <c r="AE19">
        <v>0</v>
      </c>
    </row>
    <row r="20" spans="4:31" x14ac:dyDescent="0.2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>
        <v>5.0000000000000001E-4</v>
      </c>
      <c r="U20">
        <f t="shared" si="5"/>
        <v>1.1638843622688985E-2</v>
      </c>
      <c r="AB20">
        <v>3.4689999999999999E-3</v>
      </c>
      <c r="AC20">
        <v>3.5</v>
      </c>
      <c r="AD20">
        <v>2.5999999999999998E-4</v>
      </c>
      <c r="AE20">
        <v>0</v>
      </c>
    </row>
    <row r="21" spans="4:31" x14ac:dyDescent="0.25">
      <c r="T21">
        <v>5.9999999999999995E-4</v>
      </c>
      <c r="U21">
        <f t="shared" si="5"/>
        <v>1.3521325317304985E-2</v>
      </c>
      <c r="AB21">
        <v>3.6830000000000001E-3</v>
      </c>
      <c r="AC21">
        <v>4.5</v>
      </c>
      <c r="AD21">
        <v>5.2899999999999996E-4</v>
      </c>
      <c r="AE21">
        <v>0</v>
      </c>
    </row>
    <row r="22" spans="4:31" x14ac:dyDescent="0.25">
      <c r="T22">
        <v>6.9999999999999999E-4</v>
      </c>
      <c r="U22">
        <f t="shared" si="5"/>
        <v>1.5708282047882122E-2</v>
      </c>
    </row>
    <row r="23" spans="4:31" x14ac:dyDescent="0.25">
      <c r="T23">
        <v>8.0000000000000004E-4</v>
      </c>
      <c r="U23">
        <f t="shared" si="5"/>
        <v>1.8248960002464992E-2</v>
      </c>
    </row>
    <row r="24" spans="4:31" x14ac:dyDescent="0.25">
      <c r="T24">
        <v>8.9999999999999998E-4</v>
      </c>
      <c r="U24">
        <f t="shared" si="5"/>
        <v>2.1200570511558079E-2</v>
      </c>
    </row>
    <row r="25" spans="4:31" x14ac:dyDescent="0.25">
      <c r="T25">
        <v>1E-3</v>
      </c>
      <c r="U25">
        <f t="shared" si="5"/>
        <v>2.462957834061965E-2</v>
      </c>
    </row>
    <row r="26" spans="4:31" x14ac:dyDescent="0.25">
      <c r="T26">
        <v>1.1000000000000001E-3</v>
      </c>
      <c r="U26">
        <f t="shared" si="5"/>
        <v>2.8613198352657868E-2</v>
      </c>
    </row>
    <row r="27" spans="4:31" x14ac:dyDescent="0.25">
      <c r="T27">
        <v>1.1999999999999999E-3</v>
      </c>
      <c r="U27">
        <f t="shared" si="5"/>
        <v>3.3241134242980502E-2</v>
      </c>
    </row>
    <row r="28" spans="4:31" x14ac:dyDescent="0.25">
      <c r="T28">
        <v>1.2999999999999999E-3</v>
      </c>
      <c r="U28">
        <f t="shared" si="5"/>
        <v>3.8617598499162908E-2</v>
      </c>
    </row>
    <row r="29" spans="4:31" x14ac:dyDescent="0.25">
      <c r="T29">
        <v>1.4E-3</v>
      </c>
      <c r="U29">
        <f t="shared" si="5"/>
        <v>4.4863659071966509E-2</v>
      </c>
    </row>
    <row r="30" spans="4:31" x14ac:dyDescent="0.25">
      <c r="T30">
        <v>1.5E-3</v>
      </c>
      <c r="U30">
        <f t="shared" si="5"/>
        <v>5.2119965599861776E-2</v>
      </c>
    </row>
    <row r="31" spans="4:31" x14ac:dyDescent="0.25">
      <c r="T31">
        <v>1.6000000000000001E-3</v>
      </c>
      <c r="U31">
        <f t="shared" si="5"/>
        <v>6.0549916576648558E-2</v>
      </c>
    </row>
    <row r="32" spans="4:31" x14ac:dyDescent="0.25">
      <c r="T32">
        <v>1.6999999999999999E-3</v>
      </c>
      <c r="U32">
        <f t="shared" si="5"/>
        <v>7.0343338780883988E-2</v>
      </c>
    </row>
    <row r="33" spans="20:21" x14ac:dyDescent="0.25">
      <c r="T33">
        <v>1.8E-3</v>
      </c>
      <c r="U33">
        <f t="shared" si="5"/>
        <v>8.1720761821008361E-2</v>
      </c>
    </row>
    <row r="34" spans="20:21" x14ac:dyDescent="0.25">
      <c r="T34">
        <v>1.9E-3</v>
      </c>
      <c r="U34">
        <f t="shared" si="5"/>
        <v>9.4938384050954616E-2</v>
      </c>
    </row>
    <row r="35" spans="20:21" x14ac:dyDescent="0.25">
      <c r="T35">
        <v>2E-3</v>
      </c>
      <c r="U35">
        <f t="shared" si="5"/>
        <v>0.11029384167940373</v>
      </c>
    </row>
    <row r="36" spans="20:21" x14ac:dyDescent="0.25">
      <c r="T36">
        <v>2.0999999999999999E-3</v>
      </c>
      <c r="U36">
        <f t="shared" si="5"/>
        <v>0.12813291098226834</v>
      </c>
    </row>
    <row r="37" spans="20:21" x14ac:dyDescent="0.25">
      <c r="T37">
        <v>2.2000000000000001E-3</v>
      </c>
      <c r="U37">
        <f t="shared" si="5"/>
        <v>0.14885729453973506</v>
      </c>
    </row>
    <row r="38" spans="20:21" x14ac:dyDescent="0.25">
      <c r="T38">
        <v>2.3E-3</v>
      </c>
      <c r="U38">
        <f t="shared" si="5"/>
        <v>0.1729336668294052</v>
      </c>
    </row>
    <row r="39" spans="20:21" x14ac:dyDescent="0.25">
      <c r="T39">
        <v>2.3999999999999998E-3</v>
      </c>
      <c r="U39">
        <f t="shared" si="5"/>
        <v>0.20090418286542741</v>
      </c>
    </row>
    <row r="40" spans="20:21" x14ac:dyDescent="0.25">
      <c r="T40">
        <v>2.5000000000000001E-3</v>
      </c>
      <c r="U40">
        <f t="shared" si="5"/>
        <v>0.23339868651858123</v>
      </c>
    </row>
    <row r="41" spans="20:21" x14ac:dyDescent="0.25">
      <c r="T41">
        <v>2.5999999999999999E-3</v>
      </c>
      <c r="U41">
        <f t="shared" si="5"/>
        <v>0.27114889342591803</v>
      </c>
    </row>
    <row r="42" spans="20:21" x14ac:dyDescent="0.25">
      <c r="T42">
        <v>2.7000000000000001E-3</v>
      </c>
      <c r="U42">
        <f t="shared" si="5"/>
        <v>0.3150048678626422</v>
      </c>
    </row>
    <row r="43" spans="20:21" x14ac:dyDescent="0.25">
      <c r="T43">
        <v>2.8E-3</v>
      </c>
      <c r="U43">
        <f t="shared" si="5"/>
        <v>0.36595416460466246</v>
      </c>
    </row>
    <row r="44" spans="20:21" x14ac:dyDescent="0.25">
      <c r="T44">
        <v>2.8999999999999998E-3</v>
      </c>
      <c r="U44">
        <f t="shared" si="5"/>
        <v>0.42514406682087647</v>
      </c>
    </row>
    <row r="45" spans="20:21" x14ac:dyDescent="0.25">
      <c r="T45">
        <v>3.0000000000000001E-3</v>
      </c>
      <c r="U45">
        <f t="shared" si="5"/>
        <v>0.49390742075105004</v>
      </c>
    </row>
    <row r="46" spans="20:21" x14ac:dyDescent="0.25">
      <c r="T46">
        <v>3.0999999999999999E-3</v>
      </c>
      <c r="U46">
        <f t="shared" si="5"/>
        <v>0.57379264891807669</v>
      </c>
    </row>
    <row r="47" spans="20:21" x14ac:dyDescent="0.25">
      <c r="T47">
        <v>3.2000000000000002E-3</v>
      </c>
      <c r="U47">
        <f t="shared" si="5"/>
        <v>0.66659861771619999</v>
      </c>
    </row>
    <row r="48" spans="20:21" x14ac:dyDescent="0.25">
      <c r="T48">
        <v>3.3E-3</v>
      </c>
      <c r="U48">
        <f t="shared" si="5"/>
        <v>0.77441514452826399</v>
      </c>
    </row>
    <row r="49" spans="20:21" x14ac:dyDescent="0.25">
      <c r="T49">
        <v>3.3999999999999998E-3</v>
      </c>
      <c r="U49">
        <f t="shared" si="5"/>
        <v>0.8996700565167669</v>
      </c>
    </row>
    <row r="50" spans="20:21" x14ac:dyDescent="0.25">
      <c r="T50">
        <v>3.5000000000000001E-3</v>
      </c>
      <c r="U50">
        <f t="shared" si="5"/>
        <v>1.0451838607649315</v>
      </c>
    </row>
    <row r="51" spans="20:21" x14ac:dyDescent="0.25">
      <c r="T51">
        <v>3.5999999999999999E-3</v>
      </c>
      <c r="U51">
        <f t="shared" si="5"/>
        <v>1.2142332568374503</v>
      </c>
    </row>
    <row r="52" spans="20:21" x14ac:dyDescent="0.25">
      <c r="T52">
        <v>3.7000000000000002E-3</v>
      </c>
      <c r="U52">
        <f t="shared" si="5"/>
        <v>1.4106249219453602</v>
      </c>
    </row>
    <row r="53" spans="20:21" x14ac:dyDescent="0.25">
      <c r="T53">
        <v>3.8E-3</v>
      </c>
      <c r="U53">
        <f t="shared" si="5"/>
        <v>1.6387812302193734</v>
      </c>
    </row>
    <row r="54" spans="20:21" x14ac:dyDescent="0.25">
      <c r="T54">
        <v>3.8999999999999998E-3</v>
      </c>
      <c r="U54">
        <f t="shared" si="5"/>
        <v>1.9038398363298932</v>
      </c>
    </row>
    <row r="55" spans="20:21" x14ac:dyDescent="0.25">
      <c r="T55">
        <v>4.0000000000000001E-3</v>
      </c>
      <c r="U55">
        <f t="shared" si="5"/>
        <v>2.2117693658911595</v>
      </c>
    </row>
    <row r="56" spans="20:21" x14ac:dyDescent="0.25">
      <c r="T56">
        <v>4.1000000000000003E-3</v>
      </c>
      <c r="U56">
        <f t="shared" si="5"/>
        <v>2.569503817781718</v>
      </c>
    </row>
    <row r="57" spans="20:21" x14ac:dyDescent="0.25">
      <c r="T57">
        <v>4.1999999999999997E-3</v>
      </c>
      <c r="U57">
        <f t="shared" si="5"/>
        <v>2.9850987048708917</v>
      </c>
    </row>
    <row r="58" spans="20:21" x14ac:dyDescent="0.25">
      <c r="T58">
        <v>4.3E-3</v>
      </c>
      <c r="U58">
        <f t="shared" si="5"/>
        <v>3.4679124491493027</v>
      </c>
    </row>
    <row r="59" spans="20:21" x14ac:dyDescent="0.25">
      <c r="T59">
        <v>4.4000000000000003E-3</v>
      </c>
      <c r="U59">
        <f t="shared" si="5"/>
        <v>4.028817115943534</v>
      </c>
    </row>
    <row r="60" spans="20:21" x14ac:dyDescent="0.25">
      <c r="T60">
        <v>4.4999999999999997E-3</v>
      </c>
      <c r="U60">
        <f t="shared" si="5"/>
        <v>4.6804432325565744</v>
      </c>
    </row>
  </sheetData>
  <sortState xmlns:xlrd2="http://schemas.microsoft.com/office/spreadsheetml/2017/richdata2" ref="AB15:AC21">
    <sortCondition ref="AC15:AC2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086B-57DD-7D4E-9AC9-7918C3635140}">
  <dimension ref="A1:P18"/>
  <sheetViews>
    <sheetView tabSelected="1" zoomScale="131" zoomScaleNormal="130" workbookViewId="0">
      <selection activeCell="G9" sqref="G1:G1048576"/>
    </sheetView>
  </sheetViews>
  <sheetFormatPr defaultColWidth="11" defaultRowHeight="15.75" x14ac:dyDescent="0.25"/>
  <sheetData>
    <row r="1" spans="1:16" ht="19.5" thickBot="1" x14ac:dyDescent="0.3">
      <c r="A1" t="s">
        <v>5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I1" s="10" t="s">
        <v>5</v>
      </c>
      <c r="J1" s="10" t="s">
        <v>10</v>
      </c>
      <c r="K1" s="12" t="s">
        <v>11</v>
      </c>
      <c r="L1" s="13"/>
      <c r="M1" s="13"/>
      <c r="N1" s="13"/>
      <c r="O1" s="13"/>
      <c r="P1" s="14"/>
    </row>
    <row r="2" spans="1:16" ht="19.5" thickBot="1" x14ac:dyDescent="0.3">
      <c r="A2" t="s">
        <v>6</v>
      </c>
      <c r="B2">
        <v>-3.36</v>
      </c>
      <c r="C2">
        <v>-3.76</v>
      </c>
      <c r="D2">
        <v>-3.4</v>
      </c>
      <c r="E2">
        <v>-1.76</v>
      </c>
      <c r="F2">
        <v>-1.34</v>
      </c>
      <c r="G2">
        <v>-1.32</v>
      </c>
      <c r="I2" s="11"/>
      <c r="J2" s="11"/>
      <c r="K2" s="1" t="s">
        <v>9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</row>
    <row r="3" spans="1:16" ht="19.5" thickBot="1" x14ac:dyDescent="0.3">
      <c r="A3" t="s">
        <v>7</v>
      </c>
      <c r="B3">
        <v>-2.2999999999999998</v>
      </c>
      <c r="C3">
        <v>-2.86</v>
      </c>
      <c r="D3">
        <v>-2.46</v>
      </c>
      <c r="E3">
        <v>-1.5</v>
      </c>
      <c r="F3">
        <v>-1.1599999999999999</v>
      </c>
      <c r="G3">
        <v>-1.08</v>
      </c>
      <c r="I3" s="1" t="s">
        <v>12</v>
      </c>
      <c r="J3" s="1" t="s">
        <v>15</v>
      </c>
      <c r="K3" s="1">
        <v>2.38</v>
      </c>
      <c r="L3" s="1">
        <v>1.83</v>
      </c>
      <c r="M3" s="1">
        <v>1.81</v>
      </c>
      <c r="N3" s="1">
        <v>1.61</v>
      </c>
      <c r="O3" s="2">
        <v>1.1299999999999999</v>
      </c>
      <c r="P3" s="2">
        <v>0.97</v>
      </c>
    </row>
    <row r="4" spans="1:16" ht="19.5" thickBot="1" x14ac:dyDescent="0.3">
      <c r="A4" t="s">
        <v>8</v>
      </c>
      <c r="B4">
        <v>-2.5</v>
      </c>
      <c r="C4">
        <v>-2.66</v>
      </c>
      <c r="D4">
        <v>-1.54</v>
      </c>
      <c r="E4">
        <v>-1.62</v>
      </c>
      <c r="F4">
        <v>-1.52</v>
      </c>
      <c r="G4">
        <v>-1.06</v>
      </c>
      <c r="I4" s="1"/>
      <c r="J4" s="1" t="s">
        <v>16</v>
      </c>
      <c r="K4" s="1">
        <v>3.36</v>
      </c>
      <c r="L4" s="1">
        <v>1.81</v>
      </c>
      <c r="M4" s="1">
        <v>1.8</v>
      </c>
      <c r="N4" s="1">
        <v>1.62</v>
      </c>
      <c r="O4" s="1">
        <v>1.1299999999999999</v>
      </c>
      <c r="P4" s="1">
        <v>0.97</v>
      </c>
    </row>
    <row r="5" spans="1:16" ht="19.5" thickBot="1" x14ac:dyDescent="0.3">
      <c r="I5" s="1" t="s">
        <v>13</v>
      </c>
      <c r="J5" s="1" t="s">
        <v>17</v>
      </c>
      <c r="K5" s="1">
        <v>2.16</v>
      </c>
      <c r="L5" s="1">
        <v>1.65</v>
      </c>
      <c r="M5" s="1">
        <v>1.59</v>
      </c>
      <c r="N5" s="1">
        <v>1.38</v>
      </c>
      <c r="O5" s="1">
        <v>1.05</v>
      </c>
      <c r="P5" s="1">
        <v>0.92</v>
      </c>
    </row>
    <row r="6" spans="1:16" ht="19.5" thickBot="1" x14ac:dyDescent="0.3">
      <c r="A6" t="s">
        <v>5</v>
      </c>
      <c r="B6" t="s">
        <v>9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I6" s="1"/>
      <c r="J6" s="1" t="s">
        <v>18</v>
      </c>
      <c r="K6" s="1">
        <v>1.64</v>
      </c>
      <c r="L6" s="1">
        <v>1.61</v>
      </c>
      <c r="M6" s="1">
        <v>1.56</v>
      </c>
      <c r="N6" s="1">
        <v>1.37</v>
      </c>
      <c r="O6" s="1">
        <v>1.05</v>
      </c>
      <c r="P6" s="1">
        <v>0.92</v>
      </c>
    </row>
    <row r="7" spans="1:16" ht="19.5" thickBot="1" x14ac:dyDescent="0.3">
      <c r="A7" t="s">
        <v>6</v>
      </c>
      <c r="B7">
        <f>-B2</f>
        <v>3.36</v>
      </c>
      <c r="C7">
        <f t="shared" ref="C7:G7" si="0">-C2</f>
        <v>3.76</v>
      </c>
      <c r="D7">
        <f t="shared" si="0"/>
        <v>3.4</v>
      </c>
      <c r="E7">
        <f t="shared" si="0"/>
        <v>1.76</v>
      </c>
      <c r="F7">
        <f t="shared" si="0"/>
        <v>1.34</v>
      </c>
      <c r="G7">
        <f t="shared" si="0"/>
        <v>1.32</v>
      </c>
      <c r="I7" s="1" t="s">
        <v>14</v>
      </c>
      <c r="J7" s="1" t="s">
        <v>19</v>
      </c>
      <c r="K7" s="1">
        <v>1.31</v>
      </c>
      <c r="L7" s="1">
        <v>1.29</v>
      </c>
      <c r="M7" s="1">
        <v>1.2</v>
      </c>
      <c r="N7" s="1">
        <v>1.35</v>
      </c>
      <c r="O7" s="1">
        <v>1.27</v>
      </c>
      <c r="P7" s="2">
        <v>0.75</v>
      </c>
    </row>
    <row r="8" spans="1:16" ht="19.5" thickBot="1" x14ac:dyDescent="0.3">
      <c r="A8" t="s">
        <v>7</v>
      </c>
      <c r="B8">
        <f t="shared" ref="B8:G8" si="1">-B3</f>
        <v>2.2999999999999998</v>
      </c>
      <c r="C8">
        <f t="shared" si="1"/>
        <v>2.86</v>
      </c>
      <c r="D8">
        <f t="shared" si="1"/>
        <v>2.46</v>
      </c>
      <c r="E8">
        <f t="shared" si="1"/>
        <v>1.5</v>
      </c>
      <c r="F8">
        <f t="shared" si="1"/>
        <v>1.1599999999999999</v>
      </c>
      <c r="G8">
        <f t="shared" si="1"/>
        <v>1.08</v>
      </c>
      <c r="I8" s="1"/>
      <c r="J8" s="1" t="s">
        <v>20</v>
      </c>
      <c r="K8" s="1">
        <v>1.44</v>
      </c>
      <c r="L8" s="1">
        <v>1.29</v>
      </c>
      <c r="M8" s="1">
        <v>1.2</v>
      </c>
      <c r="N8" s="1">
        <v>1.36</v>
      </c>
      <c r="O8" s="1">
        <v>1.27</v>
      </c>
      <c r="P8" s="1">
        <v>0.75</v>
      </c>
    </row>
    <row r="9" spans="1:16" ht="16.5" thickBot="1" x14ac:dyDescent="0.3">
      <c r="A9" t="s">
        <v>8</v>
      </c>
      <c r="B9">
        <f t="shared" ref="B9:G9" si="2">-B4</f>
        <v>2.5</v>
      </c>
      <c r="C9">
        <f t="shared" si="2"/>
        <v>2.66</v>
      </c>
      <c r="D9">
        <f t="shared" si="2"/>
        <v>1.54</v>
      </c>
      <c r="E9">
        <f t="shared" si="2"/>
        <v>1.62</v>
      </c>
      <c r="F9">
        <f t="shared" si="2"/>
        <v>1.52</v>
      </c>
      <c r="G9">
        <f t="shared" si="2"/>
        <v>1.06</v>
      </c>
    </row>
    <row r="10" spans="1:16" ht="19.5" thickBot="1" x14ac:dyDescent="0.3">
      <c r="J10" s="3" t="s">
        <v>10</v>
      </c>
      <c r="K10" s="1" t="s">
        <v>9</v>
      </c>
      <c r="L10" s="1" t="s">
        <v>0</v>
      </c>
      <c r="M10" s="1" t="s">
        <v>1</v>
      </c>
      <c r="N10" s="1" t="s">
        <v>2</v>
      </c>
      <c r="O10" s="1" t="s">
        <v>3</v>
      </c>
      <c r="P10" s="1" t="s">
        <v>4</v>
      </c>
    </row>
    <row r="11" spans="1:16" ht="19.5" thickBot="1" x14ac:dyDescent="0.3">
      <c r="J11" s="1" t="s">
        <v>15</v>
      </c>
      <c r="K11" s="1">
        <v>2.38</v>
      </c>
      <c r="L11" s="1">
        <v>1.83</v>
      </c>
      <c r="M11" s="1">
        <v>1.81</v>
      </c>
      <c r="N11" s="1">
        <v>1.61</v>
      </c>
      <c r="O11" s="2">
        <v>1.1299999999999999</v>
      </c>
      <c r="P11" s="2">
        <v>0.97</v>
      </c>
    </row>
    <row r="12" spans="1:16" ht="19.5" thickBot="1" x14ac:dyDescent="0.3">
      <c r="A12" t="s">
        <v>5</v>
      </c>
      <c r="B12" t="s">
        <v>6</v>
      </c>
      <c r="C12" t="s">
        <v>7</v>
      </c>
      <c r="D12" t="s">
        <v>8</v>
      </c>
      <c r="J12" s="1" t="s">
        <v>16</v>
      </c>
      <c r="K12" s="1">
        <v>3.36</v>
      </c>
      <c r="L12" s="1">
        <v>1.81</v>
      </c>
      <c r="M12" s="1">
        <v>1.8</v>
      </c>
      <c r="N12" s="1">
        <v>1.62</v>
      </c>
      <c r="O12" s="1">
        <v>1.1299999999999999</v>
      </c>
      <c r="P12" s="1">
        <v>0.97</v>
      </c>
    </row>
    <row r="13" spans="1:16" ht="19.5" thickBot="1" x14ac:dyDescent="0.3">
      <c r="A13" t="s">
        <v>9</v>
      </c>
      <c r="B13">
        <v>3.36</v>
      </c>
      <c r="C13">
        <v>2.2999999999999998</v>
      </c>
      <c r="D13">
        <v>2.5</v>
      </c>
      <c r="J13" s="1" t="s">
        <v>17</v>
      </c>
      <c r="K13" s="1">
        <v>2.16</v>
      </c>
      <c r="L13" s="1">
        <v>1.65</v>
      </c>
      <c r="M13" s="1">
        <v>1.59</v>
      </c>
      <c r="N13" s="1">
        <v>1.38</v>
      </c>
      <c r="O13" s="1">
        <v>1.05</v>
      </c>
      <c r="P13" s="1">
        <v>0.92</v>
      </c>
    </row>
    <row r="14" spans="1:16" ht="19.5" thickBot="1" x14ac:dyDescent="0.3">
      <c r="A14" t="s">
        <v>0</v>
      </c>
      <c r="B14">
        <v>3.76</v>
      </c>
      <c r="C14">
        <v>2.86</v>
      </c>
      <c r="D14">
        <v>2.66</v>
      </c>
      <c r="J14" s="1" t="s">
        <v>18</v>
      </c>
      <c r="K14" s="1">
        <v>1.64</v>
      </c>
      <c r="L14" s="1">
        <v>1.61</v>
      </c>
      <c r="M14" s="1">
        <v>1.56</v>
      </c>
      <c r="N14" s="1">
        <v>1.37</v>
      </c>
      <c r="O14" s="1">
        <v>1.05</v>
      </c>
      <c r="P14" s="1">
        <v>0.92</v>
      </c>
    </row>
    <row r="15" spans="1:16" ht="19.5" thickBot="1" x14ac:dyDescent="0.3">
      <c r="A15" t="s">
        <v>1</v>
      </c>
      <c r="B15">
        <v>3.4</v>
      </c>
      <c r="C15">
        <v>2.46</v>
      </c>
      <c r="D15">
        <v>1.54</v>
      </c>
      <c r="J15" s="1" t="s">
        <v>19</v>
      </c>
      <c r="K15" s="1">
        <v>1.31</v>
      </c>
      <c r="L15" s="1">
        <v>1.29</v>
      </c>
      <c r="M15" s="1">
        <v>1.2</v>
      </c>
      <c r="N15" s="1">
        <v>1.35</v>
      </c>
      <c r="O15" s="1">
        <v>1.27</v>
      </c>
      <c r="P15" s="2">
        <v>0.75</v>
      </c>
    </row>
    <row r="16" spans="1:16" ht="19.5" thickBot="1" x14ac:dyDescent="0.3">
      <c r="A16" t="s">
        <v>2</v>
      </c>
      <c r="B16">
        <v>1.76</v>
      </c>
      <c r="C16">
        <v>1.5</v>
      </c>
      <c r="D16">
        <v>1.62</v>
      </c>
      <c r="J16" s="1" t="s">
        <v>20</v>
      </c>
      <c r="K16" s="1">
        <v>1.44</v>
      </c>
      <c r="L16" s="1">
        <v>1.29</v>
      </c>
      <c r="M16" s="1">
        <v>1.2</v>
      </c>
      <c r="N16" s="1">
        <v>1.36</v>
      </c>
      <c r="O16" s="1">
        <v>1.27</v>
      </c>
      <c r="P16" s="1">
        <v>0.75</v>
      </c>
    </row>
    <row r="17" spans="1:4" x14ac:dyDescent="0.25">
      <c r="A17" t="s">
        <v>3</v>
      </c>
      <c r="B17">
        <v>1.34</v>
      </c>
      <c r="C17">
        <v>1.1599999999999999</v>
      </c>
      <c r="D17">
        <v>1.52</v>
      </c>
    </row>
    <row r="18" spans="1:4" x14ac:dyDescent="0.25">
      <c r="A18" t="s">
        <v>4</v>
      </c>
      <c r="B18">
        <v>1.32</v>
      </c>
      <c r="C18">
        <v>1.08</v>
      </c>
      <c r="D18">
        <v>1.06</v>
      </c>
    </row>
  </sheetData>
  <mergeCells count="3">
    <mergeCell ref="I1:I2"/>
    <mergeCell ref="J1:J2"/>
    <mergeCell ref="K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mass_no_sine (2)</vt:lpstr>
      <vt:lpstr>depth_no_sine</vt:lpstr>
      <vt:lpstr>mass</vt:lpstr>
      <vt:lpstr>depth_sine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Munoz-Carpena,Rafael</dc:creator>
  <cp:lastModifiedBy>Lucie Guertault</cp:lastModifiedBy>
  <dcterms:created xsi:type="dcterms:W3CDTF">2025-09-09T17:44:07Z</dcterms:created>
  <dcterms:modified xsi:type="dcterms:W3CDTF">2026-06-03T20:53:08Z</dcterms:modified>
</cp:coreProperties>
</file>