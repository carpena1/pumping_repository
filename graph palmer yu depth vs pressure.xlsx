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Q:\My Drive\BIBLIO\Scientific\chemical transfer runoff mixing layer\fluid mechanics\"/>
    </mc:Choice>
  </mc:AlternateContent>
  <xr:revisionPtr revIDLastSave="0" documentId="13_ncr:1_{B3A6740C-DB43-4DB4-94DE-55759FF0FDDB}" xr6:coauthVersionLast="47" xr6:coauthVersionMax="47" xr10:uidLastSave="{00000000-0000-0000-0000-000000000000}"/>
  <bookViews>
    <workbookView xWindow="31095" yWindow="765" windowWidth="24930" windowHeight="13680" xr2:uid="{3E51DBA7-851A-407D-9D1F-EA4B1EBEAA2C}"/>
  </bookViews>
  <sheets>
    <sheet name="yu Experiment" sheetId="1" r:id="rId1"/>
    <sheet name="yu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H28" i="1" s="1"/>
  <c r="E2" i="1"/>
  <c r="H29" i="1"/>
  <c r="H30" i="1"/>
  <c r="G29" i="1"/>
  <c r="G30" i="1"/>
  <c r="D29" i="1"/>
  <c r="D30" i="1"/>
  <c r="D28" i="1"/>
  <c r="C35" i="1"/>
  <c r="C36" i="1"/>
  <c r="C37" i="1"/>
  <c r="B37" i="1"/>
  <c r="B36" i="1"/>
  <c r="B35" i="1"/>
  <c r="B30" i="1"/>
  <c r="B29" i="1"/>
  <c r="C29" i="1"/>
  <c r="C30" i="1"/>
  <c r="C28" i="1"/>
  <c r="B28" i="1"/>
</calcChain>
</file>

<file path=xl/sharedStrings.xml><?xml version="1.0" encoding="utf-8"?>
<sst xmlns="http://schemas.openxmlformats.org/spreadsheetml/2006/main" count="38" uniqueCount="21">
  <si>
    <t xml:space="preserve"> runoff depth (mm)</t>
  </si>
  <si>
    <t>drop diameter (mm)</t>
  </si>
  <si>
    <t>fall velocity 4.9m/s</t>
  </si>
  <si>
    <t>5.11 m/s</t>
  </si>
  <si>
    <t>5.18 m/s</t>
  </si>
  <si>
    <t>Palmer</t>
  </si>
  <si>
    <t>Yu</t>
  </si>
  <si>
    <t>drop diameter</t>
  </si>
  <si>
    <t>3.45 m/s</t>
  </si>
  <si>
    <t>4.62 m/s</t>
  </si>
  <si>
    <t>2.9 mm 4.9 m/s (P)</t>
  </si>
  <si>
    <t>4.7 mm 5.11 m/s (P)</t>
  </si>
  <si>
    <t>5.9 mm 5.18 m/s (P)</t>
  </si>
  <si>
    <t>2 mm 4.62 m/s (Y)</t>
  </si>
  <si>
    <t>2 mm 5.7 m/s (Y)</t>
  </si>
  <si>
    <t>4.5 mm 3.7 m/s (Y)</t>
  </si>
  <si>
    <t>4.5 mm 5.1 m/s (Y)</t>
  </si>
  <si>
    <t>4.5 mm 6.7 m/s (Y)</t>
  </si>
  <si>
    <t>2 mm 3.49 m/s (Y)</t>
  </si>
  <si>
    <t>Yu experiments</t>
  </si>
  <si>
    <t>Palmer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</si>
</sst>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'yu Experiment'!$A$7</c:f>
              <c:strCache>
                <c:ptCount val="1"/>
                <c:pt idx="0">
                  <c:v>2.9 mm 4.9 m/s 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Experiment'!$B$7:$J$7</c:f>
              <c:numCache>
                <c:formatCode>General</c:formatCode>
                <c:ptCount val="9"/>
                <c:pt idx="0">
                  <c:v>7.8880309567021176E-3</c:v>
                </c:pt>
                <c:pt idx="1">
                  <c:v>1.5392937580437501E-2</c:v>
                </c:pt>
                <c:pt idx="2">
                  <c:v>1.4584942084942E-2</c:v>
                </c:pt>
                <c:pt idx="3">
                  <c:v>1.30849823037323E-2</c:v>
                </c:pt>
                <c:pt idx="4">
                  <c:v>1.3604407979407901E-2</c:v>
                </c:pt>
                <c:pt idx="5">
                  <c:v>1.2276383526383501E-2</c:v>
                </c:pt>
                <c:pt idx="6">
                  <c:v>9.5055099742599701E-3</c:v>
                </c:pt>
                <c:pt idx="7">
                  <c:v>8.3518339768339795E-3</c:v>
                </c:pt>
                <c:pt idx="8">
                  <c:v>6.562097812097812E-3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F-428A-AEE8-F0E7C34C4D9E}"/>
            </c:ext>
          </c:extLst>
        </c:ser>
        <c:ser>
          <c:idx val="1"/>
          <c:order val="1"/>
          <c:tx>
            <c:strRef>
              <c:f>'yu Experiment'!$A$8</c:f>
              <c:strCache>
                <c:ptCount val="1"/>
                <c:pt idx="0">
                  <c:v>4.7 mm 5.11 m/s (P)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Experiment'!$B$8:$J$8</c:f>
              <c:numCache>
                <c:formatCode>General</c:formatCode>
                <c:ptCount val="9"/>
                <c:pt idx="0">
                  <c:v>1.2975779764856544E-2</c:v>
                </c:pt>
                <c:pt idx="1">
                  <c:v>2.9661961068211E-2</c:v>
                </c:pt>
                <c:pt idx="2">
                  <c:v>3.3356258043757997E-2</c:v>
                </c:pt>
                <c:pt idx="3">
                  <c:v>3.2548262548262506E-2</c:v>
                </c:pt>
                <c:pt idx="4">
                  <c:v>3.0584781209781201E-2</c:v>
                </c:pt>
                <c:pt idx="5">
                  <c:v>2.7583655083654998E-2</c:v>
                </c:pt>
                <c:pt idx="6">
                  <c:v>1.9964808558558499E-2</c:v>
                </c:pt>
                <c:pt idx="7">
                  <c:v>1.43647442084942E-2</c:v>
                </c:pt>
                <c:pt idx="8">
                  <c:v>8.8242036679536708E-3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F-428A-AEE8-F0E7C34C4D9E}"/>
            </c:ext>
          </c:extLst>
        </c:ser>
        <c:ser>
          <c:idx val="2"/>
          <c:order val="2"/>
          <c:tx>
            <c:strRef>
              <c:f>'yu Experiment'!$A$9</c:f>
              <c:strCache>
                <c:ptCount val="1"/>
                <c:pt idx="0">
                  <c:v>5.9 mm 5.18 m/s (P)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Experiment'!$B$9:$J$9</c:f>
              <c:numCache>
                <c:formatCode>General</c:formatCode>
                <c:ptCount val="9"/>
                <c:pt idx="0">
                  <c:v>2.0136501258999736E-2</c:v>
                </c:pt>
                <c:pt idx="1">
                  <c:v>3.4285714285714197E-2</c:v>
                </c:pt>
                <c:pt idx="2">
                  <c:v>4.1731418918918899E-2</c:v>
                </c:pt>
                <c:pt idx="3">
                  <c:v>4.2424589768339703E-2</c:v>
                </c:pt>
                <c:pt idx="4">
                  <c:v>3.9076576576576497E-2</c:v>
                </c:pt>
                <c:pt idx="5">
                  <c:v>3.59011019948519E-2</c:v>
                </c:pt>
                <c:pt idx="6">
                  <c:v>3.07645592020592E-2</c:v>
                </c:pt>
                <c:pt idx="7">
                  <c:v>2.2566763191763099E-2</c:v>
                </c:pt>
                <c:pt idx="8">
                  <c:v>1.2294280888030799E-2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BF-428A-AEE8-F0E7C34C4D9E}"/>
            </c:ext>
          </c:extLst>
        </c:ser>
        <c:ser>
          <c:idx val="3"/>
          <c:order val="3"/>
          <c:tx>
            <c:strRef>
              <c:f>'yu Experiment'!$A$14</c:f>
              <c:strCache>
                <c:ptCount val="1"/>
                <c:pt idx="0">
                  <c:v>2 mm 3.49 m/s (Y)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Experiment'!$B$13:$I$13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Experiment'!$B$14:$I$14</c:f>
              <c:numCache>
                <c:formatCode>General</c:formatCode>
                <c:ptCount val="8"/>
                <c:pt idx="0">
                  <c:v>3.31523175367981E-2</c:v>
                </c:pt>
                <c:pt idx="1">
                  <c:v>8.7015256051945794E-2</c:v>
                </c:pt>
                <c:pt idx="2">
                  <c:v>0.119082323584047</c:v>
                </c:pt>
                <c:pt idx="3">
                  <c:v>0.141007803605181</c:v>
                </c:pt>
                <c:pt idx="4">
                  <c:v>0.13239069514508001</c:v>
                </c:pt>
                <c:pt idx="5">
                  <c:v>0.145077147694509</c:v>
                </c:pt>
                <c:pt idx="6">
                  <c:v>0.18089810510731599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F-428A-AEE8-F0E7C34C4D9E}"/>
            </c:ext>
          </c:extLst>
        </c:ser>
        <c:ser>
          <c:idx val="4"/>
          <c:order val="4"/>
          <c:tx>
            <c:strRef>
              <c:f>'yu Experiment'!$A$15</c:f>
              <c:strCache>
                <c:ptCount val="1"/>
                <c:pt idx="0">
                  <c:v>2 mm 4.62 m/s (Y)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Experiment'!$B$15:$H$15</c:f>
              <c:numCache>
                <c:formatCode>General</c:formatCode>
                <c:ptCount val="7"/>
                <c:pt idx="0">
                  <c:v>4.1115173767610501E-2</c:v>
                </c:pt>
                <c:pt idx="1">
                  <c:v>0.13263858170867299</c:v>
                </c:pt>
                <c:pt idx="2">
                  <c:v>0.19248081999984901</c:v>
                </c:pt>
                <c:pt idx="3">
                  <c:v>0.205739095944867</c:v>
                </c:pt>
                <c:pt idx="4">
                  <c:v>0.29985805770101798</c:v>
                </c:pt>
                <c:pt idx="5">
                  <c:v>0.357184152412445</c:v>
                </c:pt>
                <c:pt idx="6">
                  <c:v>0.33617787069404298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BF-428A-AEE8-F0E7C34C4D9E}"/>
            </c:ext>
          </c:extLst>
        </c:ser>
        <c:ser>
          <c:idx val="5"/>
          <c:order val="5"/>
          <c:tx>
            <c:strRef>
              <c:f>'yu Experiment'!$A$16</c:f>
              <c:strCache>
                <c:ptCount val="1"/>
                <c:pt idx="0">
                  <c:v>2 mm 5.7 m/s (Y)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Experiment'!$B$16:$H$16</c:f>
              <c:numCache>
                <c:formatCode>General</c:formatCode>
                <c:ptCount val="7"/>
                <c:pt idx="0">
                  <c:v>6.4635419333442204E-2</c:v>
                </c:pt>
                <c:pt idx="1">
                  <c:v>0.150844711026663</c:v>
                </c:pt>
                <c:pt idx="2">
                  <c:v>0.23603088346546999</c:v>
                </c:pt>
                <c:pt idx="3">
                  <c:v>0.23636829486257799</c:v>
                </c:pt>
                <c:pt idx="4">
                  <c:v>0.33704363546390997</c:v>
                </c:pt>
                <c:pt idx="5">
                  <c:v>0.49375268186726701</c:v>
                </c:pt>
                <c:pt idx="6">
                  <c:v>0.44458299077229602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F-428A-AEE8-F0E7C34C4D9E}"/>
            </c:ext>
          </c:extLst>
        </c:ser>
        <c:ser>
          <c:idx val="6"/>
          <c:order val="6"/>
          <c:tx>
            <c:strRef>
              <c:f>'yu Experiment'!$A$18</c:f>
              <c:strCache>
                <c:ptCount val="1"/>
                <c:pt idx="0">
                  <c:v>4.5 mm 3.7 m/s (Y)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Experiment'!$B$18:$H$18</c:f>
              <c:numCache>
                <c:formatCode>General</c:formatCode>
                <c:ptCount val="7"/>
                <c:pt idx="0">
                  <c:v>5.8138380559564197E-2</c:v>
                </c:pt>
                <c:pt idx="1">
                  <c:v>0.10274998717598099</c:v>
                </c:pt>
                <c:pt idx="2">
                  <c:v>0.120426957986524</c:v>
                </c:pt>
                <c:pt idx="3">
                  <c:v>0.13433815157425599</c:v>
                </c:pt>
                <c:pt idx="4">
                  <c:v>0.17091011087101299</c:v>
                </c:pt>
                <c:pt idx="5">
                  <c:v>0.247481917378856</c:v>
                </c:pt>
                <c:pt idx="6">
                  <c:v>0.2363169673953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BF-428A-AEE8-F0E7C34C4D9E}"/>
            </c:ext>
          </c:extLst>
        </c:ser>
        <c:ser>
          <c:idx val="7"/>
          <c:order val="7"/>
          <c:tx>
            <c:strRef>
              <c:f>'yu Experiment'!$A$19</c:f>
              <c:strCache>
                <c:ptCount val="1"/>
                <c:pt idx="0">
                  <c:v>4.5 mm 5.1 m/s (Y)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Experiment'!$B$19:$H$19</c:f>
              <c:numCache>
                <c:formatCode>General</c:formatCode>
                <c:ptCount val="7"/>
                <c:pt idx="0">
                  <c:v>8.8284317020610598E-2</c:v>
                </c:pt>
                <c:pt idx="1">
                  <c:v>0.20767441751472199</c:v>
                </c:pt>
                <c:pt idx="2">
                  <c:v>0.23434926114066701</c:v>
                </c:pt>
                <c:pt idx="3">
                  <c:v>0.27638665374613902</c:v>
                </c:pt>
                <c:pt idx="4">
                  <c:v>0.33792356751098501</c:v>
                </c:pt>
                <c:pt idx="5">
                  <c:v>0.42394517289162797</c:v>
                </c:pt>
                <c:pt idx="6">
                  <c:v>0.39659346004184798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BF-428A-AEE8-F0E7C34C4D9E}"/>
            </c:ext>
          </c:extLst>
        </c:ser>
        <c:ser>
          <c:idx val="8"/>
          <c:order val="8"/>
          <c:tx>
            <c:strRef>
              <c:f>'yu Experiment'!$A$20</c:f>
              <c:strCache>
                <c:ptCount val="1"/>
                <c:pt idx="0">
                  <c:v>4.5 mm 6.7 m/s (Y)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Experiment'!$B$13:$H$13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Experiment'!$B$20:$H$20</c:f>
              <c:numCache>
                <c:formatCode>General</c:formatCode>
                <c:ptCount val="7"/>
                <c:pt idx="0">
                  <c:v>0.122810622867322</c:v>
                </c:pt>
                <c:pt idx="1">
                  <c:v>0.27752329342836102</c:v>
                </c:pt>
                <c:pt idx="2">
                  <c:v>0.30648500728078698</c:v>
                </c:pt>
                <c:pt idx="3">
                  <c:v>0.37358329560835501</c:v>
                </c:pt>
                <c:pt idx="4">
                  <c:v>0.46892396537333703</c:v>
                </c:pt>
                <c:pt idx="5">
                  <c:v>0.60057246974412104</c:v>
                </c:pt>
                <c:pt idx="6">
                  <c:v>0.608429733954715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9BF-428A-AEE8-F0E7C34C4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3920"/>
        <c:axId val="495430160"/>
      </c:scatterChart>
      <c:valAx>
        <c:axId val="49542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runoff depth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30160"/>
        <c:crosses val="autoZero"/>
        <c:crossBetween val="midCat"/>
      </c:valAx>
      <c:valAx>
        <c:axId val="49543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'yu model'!$A$7</c:f>
              <c:strCache>
                <c:ptCount val="1"/>
                <c:pt idx="0">
                  <c:v>2.9 mm 4.9 m/s 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'yu model'!$B$6:$J$6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model'!$B$7:$J$7</c:f>
              <c:numCache>
                <c:formatCode>General</c:formatCode>
                <c:ptCount val="9"/>
                <c:pt idx="0">
                  <c:v>7.8880309567021176E-3</c:v>
                </c:pt>
                <c:pt idx="1">
                  <c:v>1.5392937580437501E-2</c:v>
                </c:pt>
                <c:pt idx="2">
                  <c:v>1.4584942084942E-2</c:v>
                </c:pt>
                <c:pt idx="3">
                  <c:v>1.30849823037323E-2</c:v>
                </c:pt>
                <c:pt idx="4">
                  <c:v>1.3604407979407901E-2</c:v>
                </c:pt>
                <c:pt idx="5">
                  <c:v>1.2276383526383501E-2</c:v>
                </c:pt>
                <c:pt idx="6">
                  <c:v>9.5055099742599701E-3</c:v>
                </c:pt>
                <c:pt idx="7">
                  <c:v>8.3518339768339795E-3</c:v>
                </c:pt>
                <c:pt idx="8">
                  <c:v>6.562097812097812E-3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6-4B74-9140-F6B4D5CBD9DE}"/>
            </c:ext>
          </c:extLst>
        </c:ser>
        <c:ser>
          <c:idx val="1"/>
          <c:order val="1"/>
          <c:tx>
            <c:strRef>
              <c:f>'yu model'!$A$8</c:f>
              <c:strCache>
                <c:ptCount val="1"/>
                <c:pt idx="0">
                  <c:v>4.7 mm 5.11 m/s (P)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'yu model'!$B$6:$J$6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model'!$B$8:$J$8</c:f>
              <c:numCache>
                <c:formatCode>General</c:formatCode>
                <c:ptCount val="9"/>
                <c:pt idx="0">
                  <c:v>1.2975779764856544E-2</c:v>
                </c:pt>
                <c:pt idx="1">
                  <c:v>2.9661961068211E-2</c:v>
                </c:pt>
                <c:pt idx="2">
                  <c:v>3.3356258043757997E-2</c:v>
                </c:pt>
                <c:pt idx="3">
                  <c:v>3.2548262548262506E-2</c:v>
                </c:pt>
                <c:pt idx="4">
                  <c:v>3.0584781209781201E-2</c:v>
                </c:pt>
                <c:pt idx="5">
                  <c:v>2.7583655083654998E-2</c:v>
                </c:pt>
                <c:pt idx="6">
                  <c:v>1.9964808558558499E-2</c:v>
                </c:pt>
                <c:pt idx="7">
                  <c:v>1.43647442084942E-2</c:v>
                </c:pt>
                <c:pt idx="8">
                  <c:v>8.8242036679536708E-3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6-4B74-9140-F6B4D5CBD9DE}"/>
            </c:ext>
          </c:extLst>
        </c:ser>
        <c:ser>
          <c:idx val="2"/>
          <c:order val="2"/>
          <c:tx>
            <c:strRef>
              <c:f>'yu model'!$A$9</c:f>
              <c:strCache>
                <c:ptCount val="1"/>
                <c:pt idx="0">
                  <c:v>5.9 mm 5.18 m/s (P)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'yu model'!$B$6:$J$6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model'!$B$9:$J$9</c:f>
              <c:numCache>
                <c:formatCode>General</c:formatCode>
                <c:ptCount val="9"/>
                <c:pt idx="0">
                  <c:v>2.0136501258999736E-2</c:v>
                </c:pt>
                <c:pt idx="1">
                  <c:v>3.4285714285714197E-2</c:v>
                </c:pt>
                <c:pt idx="2">
                  <c:v>4.1731418918918899E-2</c:v>
                </c:pt>
                <c:pt idx="3">
                  <c:v>4.2424589768339703E-2</c:v>
                </c:pt>
                <c:pt idx="4">
                  <c:v>3.9076576576576497E-2</c:v>
                </c:pt>
                <c:pt idx="5">
                  <c:v>3.59011019948519E-2</c:v>
                </c:pt>
                <c:pt idx="6">
                  <c:v>3.07645592020592E-2</c:v>
                </c:pt>
                <c:pt idx="7">
                  <c:v>2.2566763191763099E-2</c:v>
                </c:pt>
                <c:pt idx="8">
                  <c:v>1.2294280888030799E-2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6-4B74-9140-F6B4D5CBD9DE}"/>
            </c:ext>
          </c:extLst>
        </c:ser>
        <c:ser>
          <c:idx val="3"/>
          <c:order val="3"/>
          <c:tx>
            <c:strRef>
              <c:f>'yu model'!$A$14</c:f>
              <c:strCache>
                <c:ptCount val="1"/>
                <c:pt idx="0">
                  <c:v>2 mm 3.49 m/s (Y)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model'!$B$13:$I$13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model'!$B$14:$I$14</c:f>
              <c:numCache>
                <c:formatCode>General</c:formatCode>
                <c:ptCount val="8"/>
                <c:pt idx="0">
                  <c:v>3.4958485999999997E-2</c:v>
                </c:pt>
                <c:pt idx="1">
                  <c:v>8.6410998000000003E-2</c:v>
                </c:pt>
                <c:pt idx="2">
                  <c:v>0.13040837299999999</c:v>
                </c:pt>
                <c:pt idx="3">
                  <c:v>0.150119535</c:v>
                </c:pt>
                <c:pt idx="4">
                  <c:v>0.14790699800000001</c:v>
                </c:pt>
                <c:pt idx="5">
                  <c:v>0.17940034299999999</c:v>
                </c:pt>
                <c:pt idx="6">
                  <c:v>0.17558504699999999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B6-4B74-9140-F6B4D5CBD9DE}"/>
            </c:ext>
          </c:extLst>
        </c:ser>
        <c:ser>
          <c:idx val="4"/>
          <c:order val="4"/>
          <c:tx>
            <c:strRef>
              <c:f>'yu model'!$A$15</c:f>
              <c:strCache>
                <c:ptCount val="1"/>
                <c:pt idx="0">
                  <c:v>2 mm 4.62 m/s (Y)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model'!$B$15:$H$15</c:f>
              <c:numCache>
                <c:formatCode>General</c:formatCode>
                <c:ptCount val="7"/>
                <c:pt idx="0">
                  <c:v>4.8236175999999999E-2</c:v>
                </c:pt>
                <c:pt idx="1">
                  <c:v>0.131711099</c:v>
                </c:pt>
                <c:pt idx="2">
                  <c:v>0.19576185400000001</c:v>
                </c:pt>
                <c:pt idx="3">
                  <c:v>0.210789641</c:v>
                </c:pt>
                <c:pt idx="4">
                  <c:v>0.25874055299999998</c:v>
                </c:pt>
                <c:pt idx="5">
                  <c:v>0.333334572</c:v>
                </c:pt>
                <c:pt idx="6">
                  <c:v>0.318053855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B6-4B74-9140-F6B4D5CBD9DE}"/>
            </c:ext>
          </c:extLst>
        </c:ser>
        <c:ser>
          <c:idx val="5"/>
          <c:order val="5"/>
          <c:tx>
            <c:strRef>
              <c:f>'yu model'!$A$16</c:f>
              <c:strCache>
                <c:ptCount val="1"/>
                <c:pt idx="0">
                  <c:v>2 mm 5.7 m/s (Y)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model'!$B$16:$H$16</c:f>
              <c:numCache>
                <c:formatCode>General</c:formatCode>
                <c:ptCount val="7"/>
                <c:pt idx="0">
                  <c:v>5.5710308E-2</c:v>
                </c:pt>
                <c:pt idx="1">
                  <c:v>0.168393558</c:v>
                </c:pt>
                <c:pt idx="2">
                  <c:v>0.24861196999999999</c:v>
                </c:pt>
                <c:pt idx="3">
                  <c:v>0.24836984300000001</c:v>
                </c:pt>
                <c:pt idx="4">
                  <c:v>0.38792291699999998</c:v>
                </c:pt>
                <c:pt idx="5">
                  <c:v>0.52787069099999995</c:v>
                </c:pt>
                <c:pt idx="6">
                  <c:v>0.4905197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B6-4B74-9140-F6B4D5CBD9DE}"/>
            </c:ext>
          </c:extLst>
        </c:ser>
        <c:ser>
          <c:idx val="6"/>
          <c:order val="6"/>
          <c:tx>
            <c:strRef>
              <c:f>'yu model'!$A$18</c:f>
              <c:strCache>
                <c:ptCount val="1"/>
                <c:pt idx="0">
                  <c:v>4.5 mm 3.7 m/s (Y)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model'!$B$18:$H$18</c:f>
              <c:numCache>
                <c:formatCode>General</c:formatCode>
                <c:ptCount val="7"/>
                <c:pt idx="0">
                  <c:v>0.113907958</c:v>
                </c:pt>
                <c:pt idx="1">
                  <c:v>0.19958224799999999</c:v>
                </c:pt>
                <c:pt idx="2">
                  <c:v>0.218005319</c:v>
                </c:pt>
                <c:pt idx="3">
                  <c:v>0.24432498699999999</c:v>
                </c:pt>
                <c:pt idx="4">
                  <c:v>0.28480411500000002</c:v>
                </c:pt>
                <c:pt idx="5">
                  <c:v>0.358179731</c:v>
                </c:pt>
                <c:pt idx="6">
                  <c:v>0.32300438300000001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B6-4B74-9140-F6B4D5CBD9DE}"/>
            </c:ext>
          </c:extLst>
        </c:ser>
        <c:ser>
          <c:idx val="7"/>
          <c:order val="7"/>
          <c:tx>
            <c:strRef>
              <c:f>'yu model'!$A$19</c:f>
              <c:strCache>
                <c:ptCount val="1"/>
                <c:pt idx="0">
                  <c:v>4.5 mm 5.1 m/s (Y)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model'!$B$19:$H$19</c:f>
              <c:numCache>
                <c:formatCode>General</c:formatCode>
                <c:ptCount val="7"/>
                <c:pt idx="0">
                  <c:v>0.15014371000000001</c:v>
                </c:pt>
                <c:pt idx="1">
                  <c:v>0.28336861299999999</c:v>
                </c:pt>
                <c:pt idx="2">
                  <c:v>0.31121036699999999</c:v>
                </c:pt>
                <c:pt idx="3">
                  <c:v>0.35430228499999999</c:v>
                </c:pt>
                <c:pt idx="4">
                  <c:v>0.41844489600000001</c:v>
                </c:pt>
                <c:pt idx="5">
                  <c:v>0.52978325199999998</c:v>
                </c:pt>
                <c:pt idx="6">
                  <c:v>0.48157488999999998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B6-4B74-9140-F6B4D5CBD9DE}"/>
            </c:ext>
          </c:extLst>
        </c:ser>
        <c:ser>
          <c:idx val="8"/>
          <c:order val="8"/>
          <c:tx>
            <c:strRef>
              <c:f>'yu model'!$A$20</c:f>
              <c:strCache>
                <c:ptCount val="1"/>
                <c:pt idx="0">
                  <c:v>4.5 mm 6.7 m/s (Y)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model'!$B$20:$H$20</c:f>
              <c:numCache>
                <c:formatCode>General</c:formatCode>
                <c:ptCount val="7"/>
                <c:pt idx="0">
                  <c:v>0.16636261199999999</c:v>
                </c:pt>
                <c:pt idx="1">
                  <c:v>0.34068137199999998</c:v>
                </c:pt>
                <c:pt idx="2">
                  <c:v>0.376534058</c:v>
                </c:pt>
                <c:pt idx="3">
                  <c:v>0.43842262199999998</c:v>
                </c:pt>
                <c:pt idx="4">
                  <c:v>0.53300918799999997</c:v>
                </c:pt>
                <c:pt idx="5">
                  <c:v>0.685691944</c:v>
                </c:pt>
                <c:pt idx="6">
                  <c:v>0.63610873999999995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B6-4B74-9140-F6B4D5CBD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3920"/>
        <c:axId val="495430160"/>
      </c:scatterChart>
      <c:valAx>
        <c:axId val="49542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runoff depth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30160"/>
        <c:crosses val="autoZero"/>
        <c:crossBetween val="midCat"/>
      </c:valAx>
      <c:valAx>
        <c:axId val="49543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1</xdr:row>
      <xdr:rowOff>128587</xdr:rowOff>
    </xdr:from>
    <xdr:to>
      <xdr:col>32</xdr:col>
      <xdr:colOff>409575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F882C-222A-2AE1-3F94-E112977B5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1</xdr:row>
      <xdr:rowOff>128587</xdr:rowOff>
    </xdr:from>
    <xdr:to>
      <xdr:col>32</xdr:col>
      <xdr:colOff>409575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D65B3-512C-46EE-8B63-90F3E8C4A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711C-F31E-4CB8-844E-21D3DDD606B2}">
  <dimension ref="A2:L37"/>
  <sheetViews>
    <sheetView tabSelected="1" topLeftCell="A4" workbookViewId="0">
      <selection activeCell="G29" sqref="G29"/>
    </sheetView>
  </sheetViews>
  <sheetFormatPr defaultRowHeight="15" x14ac:dyDescent="0.25"/>
  <cols>
    <col min="1" max="1" width="30.5703125" customWidth="1"/>
  </cols>
  <sheetData>
    <row r="2" spans="1:12" x14ac:dyDescent="0.25">
      <c r="E2">
        <f>AVERAGE(E7:F7)*100</f>
        <v>1.33446951415701</v>
      </c>
    </row>
    <row r="4" spans="1:12" x14ac:dyDescent="0.25">
      <c r="A4" s="1" t="s">
        <v>20</v>
      </c>
    </row>
    <row r="5" spans="1:12" x14ac:dyDescent="0.25">
      <c r="B5" t="s">
        <v>0</v>
      </c>
    </row>
    <row r="6" spans="1:12" x14ac:dyDescent="0.25">
      <c r="A6" t="s">
        <v>1</v>
      </c>
      <c r="B6">
        <v>0</v>
      </c>
      <c r="C6">
        <v>2</v>
      </c>
      <c r="D6">
        <v>4</v>
      </c>
      <c r="E6">
        <v>6</v>
      </c>
      <c r="F6">
        <v>8</v>
      </c>
      <c r="G6">
        <v>10</v>
      </c>
      <c r="H6">
        <v>15</v>
      </c>
      <c r="I6">
        <v>20</v>
      </c>
      <c r="J6">
        <v>30</v>
      </c>
    </row>
    <row r="7" spans="1:12" x14ac:dyDescent="0.25">
      <c r="A7" t="s">
        <v>10</v>
      </c>
      <c r="B7">
        <v>7.8880309567021176E-3</v>
      </c>
      <c r="C7">
        <v>1.5392937580437501E-2</v>
      </c>
      <c r="D7">
        <v>1.4584942084942E-2</v>
      </c>
      <c r="E7">
        <v>1.30849823037323E-2</v>
      </c>
      <c r="F7">
        <v>1.3604407979407901E-2</v>
      </c>
      <c r="G7">
        <v>1.2276383526383501E-2</v>
      </c>
      <c r="H7">
        <v>9.5055099742599701E-3</v>
      </c>
      <c r="I7">
        <v>8.3518339768339795E-3</v>
      </c>
      <c r="J7">
        <v>6.562097812097812E-3</v>
      </c>
      <c r="L7" t="s">
        <v>2</v>
      </c>
    </row>
    <row r="8" spans="1:12" x14ac:dyDescent="0.25">
      <c r="A8" t="s">
        <v>11</v>
      </c>
      <c r="B8">
        <v>1.2975779764856544E-2</v>
      </c>
      <c r="C8">
        <v>2.9661961068211E-2</v>
      </c>
      <c r="D8">
        <v>3.3356258043757997E-2</v>
      </c>
      <c r="E8">
        <v>3.2548262548262506E-2</v>
      </c>
      <c r="F8">
        <v>3.0584781209781201E-2</v>
      </c>
      <c r="G8">
        <v>2.7583655083654998E-2</v>
      </c>
      <c r="H8">
        <v>1.9964808558558499E-2</v>
      </c>
      <c r="I8">
        <v>1.43647442084942E-2</v>
      </c>
      <c r="J8">
        <v>8.8242036679536708E-3</v>
      </c>
      <c r="L8" t="s">
        <v>3</v>
      </c>
    </row>
    <row r="9" spans="1:12" x14ac:dyDescent="0.25">
      <c r="A9" t="s">
        <v>12</v>
      </c>
      <c r="B9">
        <v>2.0136501258999736E-2</v>
      </c>
      <c r="C9">
        <v>3.4285714285714197E-2</v>
      </c>
      <c r="D9">
        <v>4.1731418918918899E-2</v>
      </c>
      <c r="E9">
        <v>4.2424589768339703E-2</v>
      </c>
      <c r="F9">
        <v>3.9076576576576497E-2</v>
      </c>
      <c r="G9">
        <v>3.59011019948519E-2</v>
      </c>
      <c r="H9">
        <v>3.07645592020592E-2</v>
      </c>
      <c r="I9">
        <v>2.2566763191763099E-2</v>
      </c>
      <c r="J9">
        <v>1.2294280888030799E-2</v>
      </c>
      <c r="L9" t="s">
        <v>4</v>
      </c>
    </row>
    <row r="11" spans="1:12" x14ac:dyDescent="0.25">
      <c r="A11" s="1" t="s">
        <v>19</v>
      </c>
    </row>
    <row r="13" spans="1:12" x14ac:dyDescent="0.25">
      <c r="A13" t="s">
        <v>7</v>
      </c>
      <c r="B13">
        <v>0</v>
      </c>
      <c r="C13">
        <v>1</v>
      </c>
      <c r="D13">
        <v>2</v>
      </c>
      <c r="E13">
        <v>4</v>
      </c>
      <c r="F13">
        <v>6</v>
      </c>
      <c r="G13">
        <v>8</v>
      </c>
      <c r="H13">
        <v>10</v>
      </c>
    </row>
    <row r="14" spans="1:12" x14ac:dyDescent="0.25">
      <c r="A14" t="s">
        <v>18</v>
      </c>
      <c r="B14">
        <v>3.31523175367981E-2</v>
      </c>
      <c r="C14">
        <v>8.7015256051945794E-2</v>
      </c>
      <c r="D14">
        <v>0.119082323584047</v>
      </c>
      <c r="E14">
        <v>0.141007803605181</v>
      </c>
      <c r="F14">
        <v>0.13239069514508001</v>
      </c>
      <c r="G14">
        <v>0.145077147694509</v>
      </c>
      <c r="H14">
        <v>0.18089810510731599</v>
      </c>
      <c r="L14" t="s">
        <v>8</v>
      </c>
    </row>
    <row r="15" spans="1:12" x14ac:dyDescent="0.25">
      <c r="A15" t="s">
        <v>13</v>
      </c>
      <c r="B15">
        <v>4.1115173767610501E-2</v>
      </c>
      <c r="C15">
        <v>0.13263858170867299</v>
      </c>
      <c r="D15">
        <v>0.19248081999984901</v>
      </c>
      <c r="E15">
        <v>0.205739095944867</v>
      </c>
      <c r="F15">
        <v>0.29985805770101798</v>
      </c>
      <c r="G15">
        <v>0.357184152412445</v>
      </c>
      <c r="H15">
        <v>0.33617787069404298</v>
      </c>
      <c r="L15" t="s">
        <v>9</v>
      </c>
    </row>
    <row r="16" spans="1:12" x14ac:dyDescent="0.25">
      <c r="A16" t="s">
        <v>14</v>
      </c>
      <c r="B16">
        <v>6.4635419333442204E-2</v>
      </c>
      <c r="C16">
        <v>0.150844711026663</v>
      </c>
      <c r="D16">
        <v>0.23603088346546999</v>
      </c>
      <c r="E16">
        <v>0.23636829486257799</v>
      </c>
      <c r="F16">
        <v>0.33704363546390997</v>
      </c>
      <c r="G16">
        <v>0.49375268186726701</v>
      </c>
      <c r="H16">
        <v>0.44458299077229602</v>
      </c>
    </row>
    <row r="18" spans="1:8" x14ac:dyDescent="0.25">
      <c r="A18" t="s">
        <v>15</v>
      </c>
      <c r="B18">
        <v>5.8138380559564197E-2</v>
      </c>
      <c r="C18">
        <v>0.10274998717598099</v>
      </c>
      <c r="D18">
        <v>0.120426957986524</v>
      </c>
      <c r="E18">
        <v>0.13433815157425599</v>
      </c>
      <c r="F18">
        <v>0.17091011087101299</v>
      </c>
      <c r="G18">
        <v>0.247481917378856</v>
      </c>
      <c r="H18">
        <v>0.2363169673953</v>
      </c>
    </row>
    <row r="19" spans="1:8" x14ac:dyDescent="0.25">
      <c r="A19" t="s">
        <v>16</v>
      </c>
      <c r="B19">
        <v>8.8284317020610598E-2</v>
      </c>
      <c r="C19">
        <v>0.20767441751472199</v>
      </c>
      <c r="D19">
        <v>0.23434926114066701</v>
      </c>
      <c r="E19">
        <v>0.27638665374613902</v>
      </c>
      <c r="F19">
        <v>0.33792356751098501</v>
      </c>
      <c r="G19">
        <v>0.42394517289162797</v>
      </c>
      <c r="H19">
        <v>0.39659346004184798</v>
      </c>
    </row>
    <row r="20" spans="1:8" x14ac:dyDescent="0.25">
      <c r="A20" t="s">
        <v>17</v>
      </c>
      <c r="B20">
        <v>0.122810622867322</v>
      </c>
      <c r="C20">
        <v>0.27752329342836102</v>
      </c>
      <c r="D20">
        <v>0.30648500728078698</v>
      </c>
      <c r="E20">
        <v>0.37358329560835501</v>
      </c>
      <c r="F20">
        <v>0.46892396537333703</v>
      </c>
      <c r="G20">
        <v>0.60057246974412104</v>
      </c>
      <c r="H20">
        <v>0.608429733954715</v>
      </c>
    </row>
    <row r="28" spans="1:8" x14ac:dyDescent="0.25">
      <c r="B28">
        <f>B7*100</f>
        <v>0.78880309567021178</v>
      </c>
      <c r="C28">
        <f>C7*100</f>
        <v>1.53929375804375</v>
      </c>
      <c r="D28">
        <f>AVERAGE(B28:C28)</f>
        <v>1.1640484268569808</v>
      </c>
      <c r="G28">
        <f>AVERAGE(F14:G14)</f>
        <v>0.13873392141979451</v>
      </c>
      <c r="H28">
        <f>G28*100</f>
        <v>13.873392141979451</v>
      </c>
    </row>
    <row r="29" spans="1:8" x14ac:dyDescent="0.25">
      <c r="B29">
        <f t="shared" ref="B29:C37" si="0">B8*100</f>
        <v>1.2975779764856543</v>
      </c>
      <c r="C29">
        <f t="shared" ref="B29:C29" si="1">C8*100</f>
        <v>2.9661961068211</v>
      </c>
      <c r="D29">
        <f t="shared" ref="D29:D30" si="2">AVERAGE(B29:C29)</f>
        <v>2.1318870416533771</v>
      </c>
      <c r="G29">
        <f t="shared" ref="G29:G30" si="3">AVERAGE(F15:G15)</f>
        <v>0.32852110505673149</v>
      </c>
      <c r="H29">
        <f t="shared" ref="H29:H30" si="4">G29*100</f>
        <v>32.852110505673146</v>
      </c>
    </row>
    <row r="30" spans="1:8" x14ac:dyDescent="0.25">
      <c r="B30">
        <f t="shared" si="0"/>
        <v>2.0136501258999737</v>
      </c>
      <c r="C30">
        <f t="shared" ref="B30:C30" si="5">C9*100</f>
        <v>3.4285714285714199</v>
      </c>
      <c r="D30">
        <f t="shared" si="2"/>
        <v>2.7211107772356966</v>
      </c>
      <c r="G30">
        <f t="shared" si="3"/>
        <v>0.41539815866558849</v>
      </c>
      <c r="H30">
        <f t="shared" si="4"/>
        <v>41.539815866558847</v>
      </c>
    </row>
    <row r="35" spans="2:3" x14ac:dyDescent="0.25">
      <c r="B35">
        <f t="shared" si="0"/>
        <v>3.3152317536798099</v>
      </c>
      <c r="C35">
        <f t="shared" si="0"/>
        <v>8.7015256051945791</v>
      </c>
    </row>
    <row r="36" spans="2:3" x14ac:dyDescent="0.25">
      <c r="B36">
        <f t="shared" si="0"/>
        <v>4.11151737676105</v>
      </c>
      <c r="C36">
        <f t="shared" si="0"/>
        <v>13.263858170867298</v>
      </c>
    </row>
    <row r="37" spans="2:3" x14ac:dyDescent="0.25">
      <c r="B37">
        <f t="shared" si="0"/>
        <v>6.4635419333442208</v>
      </c>
      <c r="C37">
        <f t="shared" si="0"/>
        <v>15.084471102666299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2BE2-27F6-4E95-99D4-8D5AAD84CDFD}">
  <dimension ref="A4:L20"/>
  <sheetViews>
    <sheetView workbookViewId="0">
      <selection activeCell="K26" sqref="K26"/>
    </sheetView>
  </sheetViews>
  <sheetFormatPr defaultRowHeight="15" x14ac:dyDescent="0.25"/>
  <cols>
    <col min="1" max="1" width="30.5703125" customWidth="1"/>
  </cols>
  <sheetData>
    <row r="4" spans="1:12" x14ac:dyDescent="0.25">
      <c r="A4" t="s">
        <v>5</v>
      </c>
    </row>
    <row r="5" spans="1:12" x14ac:dyDescent="0.25">
      <c r="B5" t="s">
        <v>0</v>
      </c>
    </row>
    <row r="6" spans="1:12" x14ac:dyDescent="0.25">
      <c r="A6" t="s">
        <v>1</v>
      </c>
      <c r="B6">
        <v>0</v>
      </c>
      <c r="C6">
        <v>2</v>
      </c>
      <c r="D6">
        <v>4</v>
      </c>
      <c r="E6">
        <v>6</v>
      </c>
      <c r="F6">
        <v>8</v>
      </c>
      <c r="G6">
        <v>10</v>
      </c>
      <c r="H6">
        <v>15</v>
      </c>
      <c r="I6">
        <v>20</v>
      </c>
      <c r="J6">
        <v>30</v>
      </c>
    </row>
    <row r="7" spans="1:12" x14ac:dyDescent="0.25">
      <c r="A7" t="s">
        <v>10</v>
      </c>
      <c r="B7">
        <v>7.8880309567021176E-3</v>
      </c>
      <c r="C7">
        <v>1.5392937580437501E-2</v>
      </c>
      <c r="D7">
        <v>1.4584942084942E-2</v>
      </c>
      <c r="E7">
        <v>1.30849823037323E-2</v>
      </c>
      <c r="F7">
        <v>1.3604407979407901E-2</v>
      </c>
      <c r="G7">
        <v>1.2276383526383501E-2</v>
      </c>
      <c r="H7">
        <v>9.5055099742599701E-3</v>
      </c>
      <c r="I7">
        <v>8.3518339768339795E-3</v>
      </c>
      <c r="J7">
        <v>6.562097812097812E-3</v>
      </c>
      <c r="L7" t="s">
        <v>2</v>
      </c>
    </row>
    <row r="8" spans="1:12" x14ac:dyDescent="0.25">
      <c r="A8" t="s">
        <v>11</v>
      </c>
      <c r="B8">
        <v>1.2975779764856544E-2</v>
      </c>
      <c r="C8">
        <v>2.9661961068211E-2</v>
      </c>
      <c r="D8">
        <v>3.3356258043757997E-2</v>
      </c>
      <c r="E8">
        <v>3.2548262548262506E-2</v>
      </c>
      <c r="F8">
        <v>3.0584781209781201E-2</v>
      </c>
      <c r="G8">
        <v>2.7583655083654998E-2</v>
      </c>
      <c r="H8">
        <v>1.9964808558558499E-2</v>
      </c>
      <c r="I8">
        <v>1.43647442084942E-2</v>
      </c>
      <c r="J8">
        <v>8.8242036679536708E-3</v>
      </c>
      <c r="L8" t="s">
        <v>3</v>
      </c>
    </row>
    <row r="9" spans="1:12" x14ac:dyDescent="0.25">
      <c r="A9" t="s">
        <v>12</v>
      </c>
      <c r="B9">
        <v>2.0136501258999736E-2</v>
      </c>
      <c r="C9">
        <v>3.4285714285714197E-2</v>
      </c>
      <c r="D9">
        <v>4.1731418918918899E-2</v>
      </c>
      <c r="E9">
        <v>4.2424589768339703E-2</v>
      </c>
      <c r="F9">
        <v>3.9076576576576497E-2</v>
      </c>
      <c r="G9">
        <v>3.59011019948519E-2</v>
      </c>
      <c r="H9">
        <v>3.07645592020592E-2</v>
      </c>
      <c r="I9">
        <v>2.2566763191763099E-2</v>
      </c>
      <c r="J9">
        <v>1.2294280888030799E-2</v>
      </c>
      <c r="L9" t="s">
        <v>4</v>
      </c>
    </row>
    <row r="11" spans="1:12" x14ac:dyDescent="0.25">
      <c r="A11" t="s">
        <v>6</v>
      </c>
    </row>
    <row r="13" spans="1:12" x14ac:dyDescent="0.25">
      <c r="A13" t="s">
        <v>7</v>
      </c>
      <c r="B13">
        <v>0</v>
      </c>
      <c r="C13">
        <v>1</v>
      </c>
      <c r="D13">
        <v>2</v>
      </c>
      <c r="E13">
        <v>4</v>
      </c>
      <c r="F13">
        <v>6</v>
      </c>
      <c r="G13">
        <v>8</v>
      </c>
      <c r="H13">
        <v>10</v>
      </c>
    </row>
    <row r="14" spans="1:12" x14ac:dyDescent="0.25">
      <c r="A14" t="s">
        <v>18</v>
      </c>
      <c r="B14">
        <v>3.4958485999999997E-2</v>
      </c>
      <c r="C14">
        <v>8.6410998000000003E-2</v>
      </c>
      <c r="D14">
        <v>0.13040837299999999</v>
      </c>
      <c r="E14">
        <v>0.150119535</v>
      </c>
      <c r="F14">
        <v>0.14790699800000001</v>
      </c>
      <c r="G14">
        <v>0.17940034299999999</v>
      </c>
      <c r="H14">
        <v>0.17558504699999999</v>
      </c>
      <c r="L14" t="s">
        <v>8</v>
      </c>
    </row>
    <row r="15" spans="1:12" x14ac:dyDescent="0.25">
      <c r="A15" t="s">
        <v>13</v>
      </c>
      <c r="B15">
        <v>4.8236175999999999E-2</v>
      </c>
      <c r="C15">
        <v>0.131711099</v>
      </c>
      <c r="D15">
        <v>0.19576185400000001</v>
      </c>
      <c r="E15">
        <v>0.210789641</v>
      </c>
      <c r="F15">
        <v>0.25874055299999998</v>
      </c>
      <c r="G15">
        <v>0.333334572</v>
      </c>
      <c r="H15">
        <v>0.318053855</v>
      </c>
      <c r="L15" t="s">
        <v>9</v>
      </c>
    </row>
    <row r="16" spans="1:12" x14ac:dyDescent="0.25">
      <c r="A16" t="s">
        <v>14</v>
      </c>
      <c r="B16">
        <v>5.5710308E-2</v>
      </c>
      <c r="C16">
        <v>0.168393558</v>
      </c>
      <c r="D16">
        <v>0.24861196999999999</v>
      </c>
      <c r="E16">
        <v>0.24836984300000001</v>
      </c>
      <c r="F16">
        <v>0.38792291699999998</v>
      </c>
      <c r="G16">
        <v>0.52787069099999995</v>
      </c>
      <c r="H16">
        <v>0.4905197</v>
      </c>
    </row>
    <row r="18" spans="1:8" x14ac:dyDescent="0.25">
      <c r="A18" t="s">
        <v>15</v>
      </c>
      <c r="B18">
        <v>0.113907958</v>
      </c>
      <c r="C18">
        <v>0.19958224799999999</v>
      </c>
      <c r="D18">
        <v>0.218005319</v>
      </c>
      <c r="E18">
        <v>0.24432498699999999</v>
      </c>
      <c r="F18">
        <v>0.28480411500000002</v>
      </c>
      <c r="G18">
        <v>0.358179731</v>
      </c>
      <c r="H18">
        <v>0.32300438300000001</v>
      </c>
    </row>
    <row r="19" spans="1:8" x14ac:dyDescent="0.25">
      <c r="A19" t="s">
        <v>16</v>
      </c>
      <c r="B19">
        <v>0.15014371000000001</v>
      </c>
      <c r="C19">
        <v>0.28336861299999999</v>
      </c>
      <c r="D19">
        <v>0.31121036699999999</v>
      </c>
      <c r="E19">
        <v>0.35430228499999999</v>
      </c>
      <c r="F19">
        <v>0.41844489600000001</v>
      </c>
      <c r="G19">
        <v>0.52978325199999998</v>
      </c>
      <c r="H19">
        <v>0.48157488999999998</v>
      </c>
    </row>
    <row r="20" spans="1:8" x14ac:dyDescent="0.25">
      <c r="A20" t="s">
        <v>17</v>
      </c>
      <c r="B20">
        <v>0.16636261199999999</v>
      </c>
      <c r="C20">
        <v>0.34068137199999998</v>
      </c>
      <c r="D20">
        <v>0.376534058</v>
      </c>
      <c r="E20">
        <v>0.43842262199999998</v>
      </c>
      <c r="F20">
        <v>0.53300918799999997</v>
      </c>
      <c r="G20">
        <v>0.685691944</v>
      </c>
      <c r="H20">
        <v>0.63610873999999995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yu Experiment</vt:lpstr>
      <vt:lpstr>yu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Guertault</dc:creator>
  <cp:lastModifiedBy>Lucie Guertault</cp:lastModifiedBy>
  <dcterms:created xsi:type="dcterms:W3CDTF">2026-02-04T15:11:55Z</dcterms:created>
  <dcterms:modified xsi:type="dcterms:W3CDTF">2026-03-10T15:58:20Z</dcterms:modified>
</cp:coreProperties>
</file>